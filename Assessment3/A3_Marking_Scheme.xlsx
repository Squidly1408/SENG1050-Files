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RIAN\Desktop\Syncthing\Shared-Folders\Sync-All-PCs\Work\SENG1050-2025-S2\Assessments\Assessment-03\Manuals\"/>
    </mc:Choice>
  </mc:AlternateContent>
  <xr:revisionPtr revIDLastSave="0" documentId="13_ncr:1_{B6B4E795-9844-4861-B71D-2D508434D75E}" xr6:coauthVersionLast="47" xr6:coauthVersionMax="47" xr10:uidLastSave="{00000000-0000-0000-0000-000000000000}"/>
  <bookViews>
    <workbookView xWindow="15252" yWindow="0" windowWidth="15552" windowHeight="12696" xr2:uid="{00000000-000D-0000-FFFF-FFFF00000000}"/>
  </bookViews>
  <sheets>
    <sheet name="Grade" sheetId="1" r:id="rId1"/>
    <sheet name="Ra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6" i="1" l="1"/>
  <c r="F142" i="1"/>
  <c r="C134" i="1"/>
  <c r="C131" i="1"/>
  <c r="C130" i="1" s="1"/>
  <c r="C125" i="1"/>
  <c r="C119" i="1"/>
  <c r="C102" i="1"/>
  <c r="C101" i="1" s="1"/>
  <c r="F94" i="1"/>
  <c r="C97" i="1"/>
  <c r="C94" i="1"/>
  <c r="C93" i="1" s="1"/>
  <c r="F86" i="1"/>
  <c r="F82" i="1"/>
  <c r="C86" i="1"/>
  <c r="C82" i="1"/>
  <c r="C67" i="1"/>
  <c r="C62" i="1"/>
  <c r="C51" i="1"/>
  <c r="C47" i="1"/>
  <c r="C42" i="1"/>
  <c r="C40" i="1" s="1"/>
  <c r="C35" i="1"/>
  <c r="C31" i="1"/>
  <c r="C30" i="1" s="1"/>
  <c r="C18" i="1"/>
  <c r="C13" i="1"/>
  <c r="F12" i="1"/>
  <c r="C7" i="1"/>
  <c r="C6" i="1" s="1"/>
  <c r="E136" i="1"/>
  <c r="F136" i="1" s="1"/>
  <c r="E137" i="1"/>
  <c r="F137" i="1"/>
  <c r="E138" i="1"/>
  <c r="F138" i="1" s="1"/>
  <c r="E133" i="1"/>
  <c r="F133" i="1" s="1"/>
  <c r="E127" i="1"/>
  <c r="F127" i="1" s="1"/>
  <c r="E128" i="1"/>
  <c r="F128" i="1" s="1"/>
  <c r="E121" i="1"/>
  <c r="F121" i="1" s="1"/>
  <c r="E122" i="1"/>
  <c r="F122" i="1" s="1"/>
  <c r="E123" i="1"/>
  <c r="F123" i="1" s="1"/>
  <c r="E124" i="1"/>
  <c r="F124" i="1" s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/>
  <c r="E112" i="1"/>
  <c r="F112" i="1"/>
  <c r="E113" i="1"/>
  <c r="F113" i="1" s="1"/>
  <c r="E114" i="1"/>
  <c r="F114" i="1"/>
  <c r="E115" i="1"/>
  <c r="F115" i="1" s="1"/>
  <c r="E116" i="1"/>
  <c r="F116" i="1" s="1"/>
  <c r="E117" i="1"/>
  <c r="F117" i="1" s="1"/>
  <c r="E118" i="1"/>
  <c r="F118" i="1" s="1"/>
  <c r="E99" i="1"/>
  <c r="F99" i="1" s="1"/>
  <c r="E96" i="1"/>
  <c r="F96" i="1" s="1"/>
  <c r="E88" i="1"/>
  <c r="F88" i="1" s="1"/>
  <c r="E89" i="1"/>
  <c r="F89" i="1" s="1"/>
  <c r="E90" i="1"/>
  <c r="F90" i="1" s="1"/>
  <c r="E91" i="1"/>
  <c r="F91" i="1" s="1"/>
  <c r="E84" i="1"/>
  <c r="F84" i="1" s="1"/>
  <c r="E85" i="1"/>
  <c r="F85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/>
  <c r="E75" i="1"/>
  <c r="F75" i="1" s="1"/>
  <c r="E76" i="1"/>
  <c r="F76" i="1"/>
  <c r="E77" i="1"/>
  <c r="F77" i="1"/>
  <c r="E78" i="1"/>
  <c r="F78" i="1" s="1"/>
  <c r="E79" i="1"/>
  <c r="F79" i="1" s="1"/>
  <c r="E80" i="1"/>
  <c r="F80" i="1"/>
  <c r="E81" i="1"/>
  <c r="F81" i="1" s="1"/>
  <c r="E64" i="1"/>
  <c r="F64" i="1" s="1"/>
  <c r="E53" i="1"/>
  <c r="F53" i="1" s="1"/>
  <c r="E54" i="1"/>
  <c r="F54" i="1"/>
  <c r="E55" i="1"/>
  <c r="F55" i="1" s="1"/>
  <c r="E56" i="1"/>
  <c r="F56" i="1" s="1"/>
  <c r="E57" i="1"/>
  <c r="F57" i="1"/>
  <c r="E58" i="1"/>
  <c r="F58" i="1"/>
  <c r="E59" i="1"/>
  <c r="F59" i="1"/>
  <c r="E60" i="1"/>
  <c r="F60" i="1"/>
  <c r="E61" i="1"/>
  <c r="F61" i="1" s="1"/>
  <c r="E49" i="1"/>
  <c r="F49" i="1" s="1"/>
  <c r="E50" i="1"/>
  <c r="F50" i="1" s="1"/>
  <c r="E44" i="1"/>
  <c r="F44" i="1" s="1"/>
  <c r="E45" i="1"/>
  <c r="F45" i="1" s="1"/>
  <c r="E46" i="1"/>
  <c r="F46" i="1"/>
  <c r="E37" i="1"/>
  <c r="F37" i="1" s="1"/>
  <c r="E38" i="1"/>
  <c r="F38" i="1" s="1"/>
  <c r="E33" i="1"/>
  <c r="F33" i="1" s="1"/>
  <c r="E34" i="1"/>
  <c r="F34" i="1" s="1"/>
  <c r="E20" i="1"/>
  <c r="F20" i="1" s="1"/>
  <c r="E21" i="1"/>
  <c r="F21" i="1"/>
  <c r="E22" i="1"/>
  <c r="F22" i="1" s="1"/>
  <c r="E23" i="1"/>
  <c r="F23" i="1" s="1"/>
  <c r="E24" i="1"/>
  <c r="F24" i="1"/>
  <c r="E25" i="1"/>
  <c r="F25" i="1"/>
  <c r="E26" i="1"/>
  <c r="F26" i="1"/>
  <c r="E27" i="1"/>
  <c r="F27" i="1"/>
  <c r="E28" i="1"/>
  <c r="F28" i="1" s="1"/>
  <c r="E15" i="1"/>
  <c r="F15" i="1" s="1"/>
  <c r="E16" i="1"/>
  <c r="F16" i="1"/>
  <c r="E17" i="1"/>
  <c r="F17" i="1" s="1"/>
  <c r="E9" i="1"/>
  <c r="F9" i="1" s="1"/>
  <c r="E10" i="1"/>
  <c r="F10" i="1" s="1"/>
  <c r="E11" i="1"/>
  <c r="F11" i="1" s="1"/>
  <c r="E12" i="1"/>
  <c r="E140" i="1"/>
  <c r="F140" i="1" s="1"/>
  <c r="E135" i="1"/>
  <c r="F135" i="1" s="1"/>
  <c r="F134" i="1" s="1"/>
  <c r="E132" i="1"/>
  <c r="F132" i="1" s="1"/>
  <c r="F131" i="1" s="1"/>
  <c r="F130" i="1" s="1"/>
  <c r="E126" i="1"/>
  <c r="F126" i="1" s="1"/>
  <c r="F125" i="1" s="1"/>
  <c r="E120" i="1"/>
  <c r="F120" i="1" s="1"/>
  <c r="F119" i="1" s="1"/>
  <c r="E103" i="1"/>
  <c r="F103" i="1" s="1"/>
  <c r="E98" i="1"/>
  <c r="F98" i="1" s="1"/>
  <c r="F97" i="1" s="1"/>
  <c r="E95" i="1"/>
  <c r="F95" i="1" s="1"/>
  <c r="E87" i="1"/>
  <c r="F87" i="1" s="1"/>
  <c r="E83" i="1"/>
  <c r="F83" i="1" s="1"/>
  <c r="E68" i="1"/>
  <c r="F68" i="1" s="1"/>
  <c r="E63" i="1"/>
  <c r="F63" i="1" s="1"/>
  <c r="F62" i="1" s="1"/>
  <c r="E52" i="1"/>
  <c r="F52" i="1" s="1"/>
  <c r="E48" i="1"/>
  <c r="F48" i="1" s="1"/>
  <c r="F47" i="1" s="1"/>
  <c r="E43" i="1"/>
  <c r="F43" i="1" s="1"/>
  <c r="F42" i="1" s="1"/>
  <c r="E41" i="1"/>
  <c r="F41" i="1" s="1"/>
  <c r="E36" i="1"/>
  <c r="F36" i="1" s="1"/>
  <c r="F35" i="1" s="1"/>
  <c r="E32" i="1"/>
  <c r="F32" i="1" s="1"/>
  <c r="F31" i="1" s="1"/>
  <c r="E19" i="1"/>
  <c r="F19" i="1" s="1"/>
  <c r="F18" i="1" s="1"/>
  <c r="E14" i="1"/>
  <c r="F14" i="1" s="1"/>
  <c r="F13" i="1" s="1"/>
  <c r="E8" i="1"/>
  <c r="F8" i="1" s="1"/>
  <c r="F67" i="1" l="1"/>
  <c r="F66" i="1" s="1"/>
  <c r="F102" i="1"/>
  <c r="F101" i="1" s="1"/>
  <c r="F93" i="1"/>
  <c r="F7" i="1"/>
  <c r="F6" i="1" s="1"/>
  <c r="F30" i="1"/>
  <c r="F51" i="1"/>
  <c r="F40" i="1"/>
  <c r="C66" i="1"/>
  <c r="C142" i="1" s="1"/>
  <c r="C144" i="1" l="1"/>
  <c r="F144" i="1" l="1"/>
  <c r="C3" i="1" l="1" a="1"/>
  <c r="C3" i="1" s="1"/>
  <c r="B19" i="2"/>
  <c r="B10" i="2"/>
  <c r="B23" i="2"/>
  <c r="B22" i="2"/>
  <c r="B21" i="2"/>
  <c r="B20" i="2"/>
  <c r="B18" i="2"/>
  <c r="B17" i="2"/>
  <c r="B16" i="2"/>
  <c r="B15" i="2"/>
  <c r="B14" i="2"/>
  <c r="B13" i="2"/>
  <c r="B12" i="2"/>
  <c r="B11" i="2"/>
  <c r="B9" i="2"/>
  <c r="B8" i="2"/>
  <c r="B7" i="2"/>
  <c r="B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<sst xmlns="http://schemas.openxmlformats.org/spreadsheetml/2006/main" count="246" uniqueCount="134">
  <si>
    <t>Total marks (%)</t>
  </si>
  <si>
    <t>SENG1050 Web-Based Assignment 1 Rubrics</t>
  </si>
  <si>
    <t>Status</t>
  </si>
  <si>
    <t>Multiplier</t>
  </si>
  <si>
    <t/>
  </si>
  <si>
    <t>Fulfilled</t>
  </si>
  <si>
    <t>Partially Fulfilled</t>
  </si>
  <si>
    <t>Not Fulfilled</t>
  </si>
  <si>
    <t>Comments</t>
  </si>
  <si>
    <t>Student Mark</t>
  </si>
  <si>
    <t>Name and ID</t>
  </si>
  <si>
    <t>Late Submissions in days</t>
  </si>
  <si>
    <t>Final Total marks (%)</t>
  </si>
  <si>
    <t>General Requirements</t>
  </si>
  <si>
    <t>Coding Style</t>
  </si>
  <si>
    <t>Penalised for excessively poor aesthetic appearence, untidiness, spelling and grammar problems, and not correctly following instructions.</t>
  </si>
  <si>
    <t>Validated files.</t>
  </si>
  <si>
    <t>Neat, clear, and indented codes.</t>
  </si>
  <si>
    <t>Comments.</t>
  </si>
  <si>
    <t>README.txt containing references.</t>
  </si>
  <si>
    <t>index.html (https://validator.w3.org/).</t>
  </si>
  <si>
    <t>about.html (https://validator.w3.org/).</t>
  </si>
  <si>
    <t>contact.html (https://validator.w3.org/).</t>
  </si>
  <si>
    <t>xmltemplate.xml (https://www.xmlvalidation.com/).</t>
  </si>
  <si>
    <t>File metadata (file name, author, and date created).</t>
  </si>
  <si>
    <t>Marking criteria addressed.</t>
  </si>
  <si>
    <t>Proper directory setup.</t>
  </si>
  <si>
    <t>fevergamez as root directory.</t>
  </si>
  <si>
    <t>Homepage.</t>
  </si>
  <si>
    <t>HTML.</t>
  </si>
  <si>
    <t>XML.</t>
  </si>
  <si>
    <t>CSS.</t>
  </si>
  <si>
    <t>Full HTML document structure (include &lt;!DOCTYPE&gt;, &lt;html&gt;, &lt;head&gt;, &lt;meta&gt;, &lt;title&gt;, and &lt;body&gt;).</t>
  </si>
  <si>
    <t>Copyright statement in proper HTML structuring element for the homepage (&lt;address&gt;).</t>
  </si>
  <si>
    <t>Navigation bar: Uses hyperlinks to link all pages to one another.</t>
  </si>
  <si>
    <t>Navigation bar: Hyperlinks implemented using relative URLs.</t>
  </si>
  <si>
    <t>Correct file name.</t>
  </si>
  <si>
    <t>Submit and clear button.</t>
  </si>
  <si>
    <t>Document-level style sheet in Homepage.</t>
  </si>
  <si>
    <t>Inline style in Homepage.</t>
  </si>
  <si>
    <t>Usage of id selector.</t>
  </si>
  <si>
    <t>Usage of class selector.</t>
  </si>
  <si>
    <t>Usage of &lt;div&gt; element and styling with CSS.</t>
  </si>
  <si>
    <t>Usage of &lt;span&gt; element and styling with CSS.</t>
  </si>
  <si>
    <t>Nice background (that does not inhibit reading the text).</t>
  </si>
  <si>
    <t>style.css (http://jigsaw.w3.org/css-validator/).</t>
  </si>
  <si>
    <t>PHP.</t>
  </si>
  <si>
    <t>Javascript.</t>
  </si>
  <si>
    <t>fevergamez/data/images as image directory.</t>
  </si>
  <si>
    <t>fevergamez/data/xml as xml directory.</t>
  </si>
  <si>
    <t>Website accessible from http://fevergamez.com.</t>
  </si>
  <si>
    <t>fevergamez/themes as template and CSS directory.</t>
  </si>
  <si>
    <t>[Bonus Task] Form Submission Script</t>
  </si>
  <si>
    <t>Details added to XML file.</t>
  </si>
  <si>
    <t>Display success message.</t>
  </si>
  <si>
    <t>During submisison of data for existing genre.</t>
  </si>
  <si>
    <t>&lt;xmldata&gt;.xml (https://www.xmlvalidation.com/).</t>
  </si>
  <si>
    <t>Responsive Web Design</t>
  </si>
  <si>
    <t>Responsive layout using media queries.</t>
  </si>
  <si>
    <t>Desktop layout.</t>
  </si>
  <si>
    <t>Mobile layout.</t>
  </si>
  <si>
    <t>Website optimisation.</t>
  </si>
  <si>
    <t>Explicit image widths and heights.</t>
  </si>
  <si>
    <t>Compressed images in webp and avif format.</t>
  </si>
  <si>
    <t>HTML requirements.</t>
  </si>
  <si>
    <t>CSS requirements.</t>
  </si>
  <si>
    <t>Correct file name for external style sheet.</t>
  </si>
  <si>
    <t>Left and right side margin of at least 30px for the main content (body) of all webpages.</t>
  </si>
  <si>
    <t>Hyperlink italicized and color change (pseudo class selectors a:link, a:visited …).</t>
  </si>
  <si>
    <t>Web Server Setup and Website Import</t>
  </si>
  <si>
    <t>Correct PHP template file for HTML file creation.</t>
  </si>
  <si>
    <t>Proper HTML structure.</t>
  </si>
  <si>
    <t>Linked to external stylesheet.</t>
  </si>
  <si>
    <t>Successful import of HTML files from Assignment 1 (which contain required contents) using PHP.</t>
  </si>
  <si>
    <t>Genre Pages</t>
  </si>
  <si>
    <t>Data Collection Page</t>
  </si>
  <si>
    <t>&lt;xmldata1&gt;.xml (https://www.xmlvalidation.com/).</t>
  </si>
  <si>
    <t>&lt;xmldata2&gt;.xml (https://www.xmlvalidation.com/).</t>
  </si>
  <si>
    <t>collection.html (https://validator.w3.org/).</t>
  </si>
  <si>
    <t>template.php (https://phpcodechecker.com/).</t>
  </si>
  <si>
    <t>xmltemplate.php (https://phpcodechecker.com/).</t>
  </si>
  <si>
    <t>submit.php (https://phpcodechecker.com/).</t>
  </si>
  <si>
    <t>genre.html (https://validator.w3.org/).</t>
  </si>
  <si>
    <t>index.php (https://phpcodechecker.com/).</t>
  </si>
  <si>
    <t>about.php (https://phpcodechecker.com/).</t>
  </si>
  <si>
    <t>contact.php (https://phpcodechecker.com/).</t>
  </si>
  <si>
    <t>genre.php (https://phpcodechecker.com/).</t>
  </si>
  <si>
    <t>collection.php (https://phpcodechecker.com/).</t>
  </si>
  <si>
    <t>Level 1 heading.</t>
  </si>
  <si>
    <t>User information.</t>
  </si>
  <si>
    <t>Asterisk on required tags and attributes.</t>
  </si>
  <si>
    <t>T&amp;C checkbox.</t>
  </si>
  <si>
    <t>Search tags.</t>
  </si>
  <si>
    <t>Reviews.</t>
  </si>
  <si>
    <t>Pricing.</t>
  </si>
  <si>
    <t>Javascript for search tags.</t>
  </si>
  <si>
    <t>Buttons to add search tags.</t>
  </si>
  <si>
    <t>Buttons to delete search tags.</t>
  </si>
  <si>
    <t>No delete button for last remaining search tag.</t>
  </si>
  <si>
    <t>Javascript for reviews.</t>
  </si>
  <si>
    <t xml:space="preserve">Check for phrase 'x out of 5 stars'. </t>
  </si>
  <si>
    <t>x can be of single decimal place.</t>
  </si>
  <si>
    <t>Form not submitting if phrase missing.</t>
  </si>
  <si>
    <t>Error message if phrase missing.</t>
  </si>
  <si>
    <t>Exception when there are no reviews, i.e., can submit.</t>
  </si>
  <si>
    <t>Data collection form.</t>
  </si>
  <si>
    <t>Dropdown box for genre selection.</t>
  </si>
  <si>
    <t>Product name.</t>
  </si>
  <si>
    <t>Product description.</t>
  </si>
  <si>
    <t>URL.</t>
  </si>
  <si>
    <t>Picture.</t>
  </si>
  <si>
    <t>Check that XML file exists.</t>
  </si>
  <si>
    <t>Redirect to genre page with new product listed.</t>
  </si>
  <si>
    <t>Able to retrieve query string from URL.</t>
  </si>
  <si>
    <t>Succesful generation of HTML page via query elements.</t>
  </si>
  <si>
    <t>Contain product description.</t>
  </si>
  <si>
    <t>Contain pricing.</t>
  </si>
  <si>
    <t>Contain search tags.</t>
  </si>
  <si>
    <t>Contain reviews.</t>
  </si>
  <si>
    <t>Contain product pictures.</t>
  </si>
  <si>
    <t>Contain URL.</t>
  </si>
  <si>
    <t>Javascript implementation.</t>
  </si>
  <si>
    <t>Store last viewed category page information in browser cookie.</t>
  </si>
  <si>
    <t>Remind user of last viewed catergory page in homepage.</t>
  </si>
  <si>
    <t>Renaming of XML files.</t>
  </si>
  <si>
    <t>PHP template for reading XML data.</t>
  </si>
  <si>
    <t>PHP file to access genre pages.</t>
  </si>
  <si>
    <t>Proper code to access and display XML data.</t>
  </si>
  <si>
    <t>Genre page 1 containing 3 products.</t>
  </si>
  <si>
    <t>Genre page 2 containing 3 products.</t>
  </si>
  <si>
    <t>Contain product name.</t>
  </si>
  <si>
    <t>About Us.</t>
  </si>
  <si>
    <t>Contact.</t>
  </si>
  <si>
    <t>Course Weighting (/23)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</si>
</sst>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center" wrapText="1"/>
    </xf>
    <xf numFmtId="0" fontId="0" fillId="0" borderId="0" xfId="0" quotePrefix="1"/>
    <xf numFmtId="0" fontId="1" fillId="0" borderId="0" xfId="0" applyFont="1" applyAlignment="1">
      <alignment wrapText="1"/>
    </xf>
    <xf numFmtId="9" fontId="1" fillId="0" borderId="0" xfId="0" applyNumberFormat="1" applyFont="1"/>
    <xf numFmtId="2" fontId="0" fillId="0" borderId="0" xfId="0" applyNumberFormat="1"/>
    <xf numFmtId="0" fontId="0" fillId="0" borderId="2" xfId="0" applyBorder="1"/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3" fillId="0" borderId="1" xfId="0" applyFont="1" applyBorder="1"/>
    <xf numFmtId="0" fontId="4" fillId="0" borderId="1" xfId="0" applyFont="1" applyBorder="1"/>
    <xf numFmtId="0" fontId="0" fillId="0" borderId="0" xfId="0" applyAlignment="1">
      <alignment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D48A4F56-2A75-4500-A751-1B045F7C4F9A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6"/>
  <sheetViews>
    <sheetView tabSelected="1" topLeftCell="A117" zoomScaleNormal="100" workbookViewId="0">
      <selection activeCell="B147" sqref="B147"/>
    </sheetView>
  </sheetViews>
  <sheetFormatPr defaultRowHeight="14.4" x14ac:dyDescent="0.3"/>
  <cols>
    <col min="1" max="1" width="3" customWidth="1"/>
    <col min="2" max="2" width="87.5546875" style="3" customWidth="1"/>
    <col min="3" max="5" width="8.5546875" customWidth="1"/>
    <col min="6" max="6" width="11.77734375" bestFit="1" customWidth="1"/>
    <col min="7" max="7" width="74.33203125" bestFit="1" customWidth="1"/>
  </cols>
  <sheetData>
    <row r="1" spans="1:7" ht="18" x14ac:dyDescent="0.35">
      <c r="B1" s="17" t="s">
        <v>1</v>
      </c>
      <c r="C1" s="17"/>
      <c r="D1" s="17"/>
      <c r="E1" s="17"/>
      <c r="F1" s="17"/>
      <c r="G1" s="17"/>
    </row>
    <row r="3" spans="1:7" x14ac:dyDescent="0.3">
      <c r="B3" s="4" t="s">
        <v>10</v>
      </c>
      <c r="C3" t="str" cm="1">
        <f t="array" aca="1" ref="C3" ca="1">_xlfn.TEXTAFTER(_xlfn.TEXTBEFORE(CELL("filename"),".xlsx"),"[")</f>
        <v>SENG1050-Assessment-03-Grading-Rubrics-2025-S2</v>
      </c>
      <c r="G3" s="1"/>
    </row>
    <row r="4" spans="1:7" x14ac:dyDescent="0.3">
      <c r="B4" s="4"/>
      <c r="G4" s="2"/>
    </row>
    <row r="5" spans="1:7" x14ac:dyDescent="0.3">
      <c r="D5" t="s">
        <v>2</v>
      </c>
      <c r="E5" t="s">
        <v>3</v>
      </c>
      <c r="F5" t="s">
        <v>9</v>
      </c>
      <c r="G5" t="s">
        <v>8</v>
      </c>
    </row>
    <row r="6" spans="1:7" s="2" customFormat="1" x14ac:dyDescent="0.3">
      <c r="B6" s="7" t="s">
        <v>13</v>
      </c>
      <c r="C6" s="2">
        <f>SUM(C7,C12,C13,C18)</f>
        <v>12</v>
      </c>
      <c r="F6" s="2">
        <f>SUM(F7,F12,F13,F18)</f>
        <v>0</v>
      </c>
    </row>
    <row r="7" spans="1:7" s="2" customFormat="1" x14ac:dyDescent="0.3">
      <c r="A7">
        <v>1</v>
      </c>
      <c r="B7" s="3" t="s">
        <v>26</v>
      </c>
      <c r="C7">
        <f>SUM(C8:C11)</f>
        <v>4</v>
      </c>
      <c r="D7"/>
      <c r="E7"/>
      <c r="F7">
        <f>SUM(F8:F11)</f>
        <v>0</v>
      </c>
    </row>
    <row r="8" spans="1:7" s="2" customFormat="1" x14ac:dyDescent="0.3">
      <c r="A8"/>
      <c r="B8" s="11" t="s">
        <v>27</v>
      </c>
      <c r="C8" s="13">
        <v>1</v>
      </c>
      <c r="D8" s="14" t="s">
        <v>4</v>
      </c>
      <c r="E8" s="10">
        <f>VLOOKUP(D8,Raw!$A$2:$B$23,2,FALSE)</f>
        <v>0</v>
      </c>
      <c r="F8">
        <f>C8*E8</f>
        <v>0</v>
      </c>
    </row>
    <row r="9" spans="1:7" s="2" customFormat="1" x14ac:dyDescent="0.3">
      <c r="A9"/>
      <c r="B9" s="11" t="s">
        <v>48</v>
      </c>
      <c r="C9" s="13">
        <v>1</v>
      </c>
      <c r="D9" s="14" t="s">
        <v>4</v>
      </c>
      <c r="E9" s="10">
        <f>VLOOKUP(D9,Raw!$A$2:$B$23,2,FALSE)</f>
        <v>0</v>
      </c>
      <c r="F9">
        <f t="shared" ref="F9:F11" si="0">C9*E9</f>
        <v>0</v>
      </c>
    </row>
    <row r="10" spans="1:7" s="2" customFormat="1" x14ac:dyDescent="0.3">
      <c r="A10"/>
      <c r="B10" s="11" t="s">
        <v>49</v>
      </c>
      <c r="C10" s="13">
        <v>1</v>
      </c>
      <c r="D10" s="14" t="s">
        <v>4</v>
      </c>
      <c r="E10" s="10">
        <f>VLOOKUP(D10,Raw!$A$2:$B$23,2,FALSE)</f>
        <v>0</v>
      </c>
      <c r="F10">
        <f t="shared" si="0"/>
        <v>0</v>
      </c>
    </row>
    <row r="11" spans="1:7" s="2" customFormat="1" x14ac:dyDescent="0.3">
      <c r="A11"/>
      <c r="B11" s="11" t="s">
        <v>51</v>
      </c>
      <c r="C11" s="13">
        <v>1</v>
      </c>
      <c r="D11" s="14" t="s">
        <v>4</v>
      </c>
      <c r="E11" s="10">
        <f>VLOOKUP(D11,Raw!$A$2:$B$23,2,FALSE)</f>
        <v>0</v>
      </c>
      <c r="F11">
        <f t="shared" si="0"/>
        <v>0</v>
      </c>
    </row>
    <row r="12" spans="1:7" s="2" customFormat="1" x14ac:dyDescent="0.3">
      <c r="A12">
        <v>2</v>
      </c>
      <c r="B12" s="11" t="s">
        <v>50</v>
      </c>
      <c r="C12" s="13">
        <v>1</v>
      </c>
      <c r="D12" s="14" t="s">
        <v>4</v>
      </c>
      <c r="E12" s="10">
        <f>VLOOKUP(D12,Raw!$A$2:$B$23,2,FALSE)</f>
        <v>0</v>
      </c>
      <c r="F12">
        <f>C12*E12</f>
        <v>0</v>
      </c>
    </row>
    <row r="13" spans="1:7" x14ac:dyDescent="0.3">
      <c r="A13">
        <v>3</v>
      </c>
      <c r="B13" s="3" t="s">
        <v>64</v>
      </c>
      <c r="C13">
        <f>SUM(C14:C17)</f>
        <v>2</v>
      </c>
      <c r="F13">
        <f>SUM(F14:F17)</f>
        <v>0</v>
      </c>
    </row>
    <row r="14" spans="1:7" x14ac:dyDescent="0.3">
      <c r="B14" s="12" t="s">
        <v>32</v>
      </c>
      <c r="C14" s="13">
        <v>0.5</v>
      </c>
      <c r="D14" s="14" t="s">
        <v>4</v>
      </c>
      <c r="E14" s="10">
        <f>VLOOKUP(D14,Raw!$A$2:$B$23,2,FALSE)</f>
        <v>0</v>
      </c>
      <c r="F14">
        <f>C14*E14</f>
        <v>0</v>
      </c>
    </row>
    <row r="15" spans="1:7" x14ac:dyDescent="0.3">
      <c r="B15" s="12" t="s">
        <v>34</v>
      </c>
      <c r="C15" s="13">
        <v>0.5</v>
      </c>
      <c r="D15" s="14" t="s">
        <v>4</v>
      </c>
      <c r="E15" s="10">
        <f>VLOOKUP(D15,Raw!$A$2:$B$23,2,FALSE)</f>
        <v>0</v>
      </c>
      <c r="F15">
        <f t="shared" ref="F15:F17" si="1">C15*E15</f>
        <v>0</v>
      </c>
    </row>
    <row r="16" spans="1:7" x14ac:dyDescent="0.3">
      <c r="B16" s="12" t="s">
        <v>35</v>
      </c>
      <c r="C16" s="13">
        <v>0.5</v>
      </c>
      <c r="D16" s="14" t="s">
        <v>4</v>
      </c>
      <c r="E16" s="10">
        <f>VLOOKUP(D16,Raw!$A$2:$B$23,2,FALSE)</f>
        <v>0</v>
      </c>
      <c r="F16">
        <f t="shared" si="1"/>
        <v>0</v>
      </c>
    </row>
    <row r="17" spans="1:6" x14ac:dyDescent="0.3">
      <c r="B17" s="12" t="s">
        <v>33</v>
      </c>
      <c r="C17" s="13">
        <v>0.5</v>
      </c>
      <c r="D17" s="14" t="s">
        <v>4</v>
      </c>
      <c r="E17" s="10">
        <f>VLOOKUP(D17,Raw!$A$2:$B$23,2,FALSE)</f>
        <v>0</v>
      </c>
      <c r="F17">
        <f t="shared" si="1"/>
        <v>0</v>
      </c>
    </row>
    <row r="18" spans="1:6" x14ac:dyDescent="0.3">
      <c r="A18">
        <v>4</v>
      </c>
      <c r="B18" s="3" t="s">
        <v>65</v>
      </c>
      <c r="C18">
        <f>SUM(C19:C28)</f>
        <v>5</v>
      </c>
      <c r="F18">
        <f>SUM(F19:F28)</f>
        <v>0</v>
      </c>
    </row>
    <row r="19" spans="1:6" x14ac:dyDescent="0.3">
      <c r="B19" s="11" t="s">
        <v>66</v>
      </c>
      <c r="C19" s="13">
        <v>0.5</v>
      </c>
      <c r="D19" s="14" t="s">
        <v>4</v>
      </c>
      <c r="E19" s="10">
        <f>VLOOKUP(D19,Raw!$A$2:$B$23,2,FALSE)</f>
        <v>0</v>
      </c>
      <c r="F19">
        <f>C19*E19</f>
        <v>0</v>
      </c>
    </row>
    <row r="20" spans="1:6" x14ac:dyDescent="0.3">
      <c r="B20" s="11" t="s">
        <v>67</v>
      </c>
      <c r="C20" s="13">
        <v>0.5</v>
      </c>
      <c r="D20" s="14" t="s">
        <v>4</v>
      </c>
      <c r="E20" s="10">
        <f>VLOOKUP(D20,Raw!$A$2:$B$23,2,FALSE)</f>
        <v>0</v>
      </c>
      <c r="F20">
        <f t="shared" ref="F20:F28" si="2">C20*E20</f>
        <v>0</v>
      </c>
    </row>
    <row r="21" spans="1:6" x14ac:dyDescent="0.3">
      <c r="B21" s="11" t="s">
        <v>44</v>
      </c>
      <c r="C21" s="13">
        <v>0.5</v>
      </c>
      <c r="D21" s="14" t="s">
        <v>4</v>
      </c>
      <c r="E21" s="10">
        <f>VLOOKUP(D21,Raw!$A$2:$B$23,2,FALSE)</f>
        <v>0</v>
      </c>
      <c r="F21">
        <f t="shared" si="2"/>
        <v>0</v>
      </c>
    </row>
    <row r="22" spans="1:6" x14ac:dyDescent="0.3">
      <c r="B22" s="11" t="s">
        <v>68</v>
      </c>
      <c r="C22" s="13">
        <v>0.5</v>
      </c>
      <c r="D22" s="14" t="s">
        <v>4</v>
      </c>
      <c r="E22" s="10">
        <f>VLOOKUP(D22,Raw!$A$2:$B$23,2,FALSE)</f>
        <v>0</v>
      </c>
      <c r="F22">
        <f t="shared" si="2"/>
        <v>0</v>
      </c>
    </row>
    <row r="23" spans="1:6" x14ac:dyDescent="0.3">
      <c r="B23" s="12" t="s">
        <v>40</v>
      </c>
      <c r="C23" s="13">
        <v>0.5</v>
      </c>
      <c r="D23" s="14" t="s">
        <v>4</v>
      </c>
      <c r="E23" s="10">
        <f>VLOOKUP(D23,Raw!$A$2:$B$23,2,FALSE)</f>
        <v>0</v>
      </c>
      <c r="F23">
        <f t="shared" si="2"/>
        <v>0</v>
      </c>
    </row>
    <row r="24" spans="1:6" x14ac:dyDescent="0.3">
      <c r="B24" s="12" t="s">
        <v>41</v>
      </c>
      <c r="C24" s="13">
        <v>0.5</v>
      </c>
      <c r="D24" s="14" t="s">
        <v>4</v>
      </c>
      <c r="E24" s="10">
        <f>VLOOKUP(D24,Raw!$A$2:$B$23,2,FALSE)</f>
        <v>0</v>
      </c>
      <c r="F24">
        <f t="shared" si="2"/>
        <v>0</v>
      </c>
    </row>
    <row r="25" spans="1:6" x14ac:dyDescent="0.3">
      <c r="B25" s="11" t="s">
        <v>42</v>
      </c>
      <c r="C25" s="13">
        <v>0.5</v>
      </c>
      <c r="D25" s="14" t="s">
        <v>4</v>
      </c>
      <c r="E25" s="10">
        <f>VLOOKUP(D25,Raw!$A$2:$B$23,2,FALSE)</f>
        <v>0</v>
      </c>
      <c r="F25">
        <f t="shared" si="2"/>
        <v>0</v>
      </c>
    </row>
    <row r="26" spans="1:6" x14ac:dyDescent="0.3">
      <c r="B26" s="11" t="s">
        <v>43</v>
      </c>
      <c r="C26" s="13">
        <v>0.5</v>
      </c>
      <c r="D26" s="14" t="s">
        <v>4</v>
      </c>
      <c r="E26" s="10">
        <f>VLOOKUP(D26,Raw!$A$2:$B$23,2,FALSE)</f>
        <v>0</v>
      </c>
      <c r="F26">
        <f t="shared" si="2"/>
        <v>0</v>
      </c>
    </row>
    <row r="27" spans="1:6" x14ac:dyDescent="0.3">
      <c r="B27" s="11" t="s">
        <v>38</v>
      </c>
      <c r="C27" s="13">
        <v>0.5</v>
      </c>
      <c r="D27" s="14" t="s">
        <v>4</v>
      </c>
      <c r="E27" s="10">
        <f>VLOOKUP(D27,Raw!$A$2:$B$23,2,FALSE)</f>
        <v>0</v>
      </c>
      <c r="F27">
        <f t="shared" si="2"/>
        <v>0</v>
      </c>
    </row>
    <row r="28" spans="1:6" x14ac:dyDescent="0.3">
      <c r="B28" s="11" t="s">
        <v>39</v>
      </c>
      <c r="C28" s="13">
        <v>0.5</v>
      </c>
      <c r="D28" s="14" t="s">
        <v>4</v>
      </c>
      <c r="E28" s="10">
        <f>VLOOKUP(D28,Raw!$A$2:$B$23,2,FALSE)</f>
        <v>0</v>
      </c>
      <c r="F28">
        <f t="shared" si="2"/>
        <v>0</v>
      </c>
    </row>
    <row r="29" spans="1:6" s="2" customFormat="1" x14ac:dyDescent="0.3">
      <c r="B29" s="7"/>
    </row>
    <row r="30" spans="1:6" s="2" customFormat="1" x14ac:dyDescent="0.3">
      <c r="B30" s="7" t="s">
        <v>69</v>
      </c>
      <c r="C30" s="2">
        <f>SUM(C31,C35)</f>
        <v>6.5</v>
      </c>
      <c r="F30" s="2">
        <f>SUM(F31,F35)</f>
        <v>0</v>
      </c>
    </row>
    <row r="31" spans="1:6" x14ac:dyDescent="0.3">
      <c r="A31">
        <v>1</v>
      </c>
      <c r="B31" s="3" t="s">
        <v>70</v>
      </c>
      <c r="C31">
        <f>SUM(C32:C34)</f>
        <v>3.5</v>
      </c>
      <c r="F31">
        <f>SUM(F32:F34)</f>
        <v>0</v>
      </c>
    </row>
    <row r="32" spans="1:6" x14ac:dyDescent="0.3">
      <c r="B32" s="11" t="s">
        <v>36</v>
      </c>
      <c r="C32" s="13">
        <v>1.5</v>
      </c>
      <c r="D32" s="14" t="s">
        <v>4</v>
      </c>
      <c r="E32" s="10">
        <f>VLOOKUP(D32,Raw!$A$2:$B$23,2,FALSE)</f>
        <v>0</v>
      </c>
      <c r="F32">
        <f>C32*E32</f>
        <v>0</v>
      </c>
    </row>
    <row r="33" spans="1:6" x14ac:dyDescent="0.3">
      <c r="B33" s="11" t="s">
        <v>71</v>
      </c>
      <c r="C33" s="13">
        <v>1</v>
      </c>
      <c r="D33" s="14" t="s">
        <v>4</v>
      </c>
      <c r="E33" s="10">
        <f>VLOOKUP(D33,Raw!$A$2:$B$23,2,FALSE)</f>
        <v>0</v>
      </c>
      <c r="F33">
        <f t="shared" ref="F33:F34" si="3">C33*E33</f>
        <v>0</v>
      </c>
    </row>
    <row r="34" spans="1:6" x14ac:dyDescent="0.3">
      <c r="B34" s="11" t="s">
        <v>72</v>
      </c>
      <c r="C34" s="13">
        <v>1</v>
      </c>
      <c r="D34" s="14" t="s">
        <v>4</v>
      </c>
      <c r="E34" s="10">
        <f>VLOOKUP(D34,Raw!$A$2:$B$23,2,FALSE)</f>
        <v>0</v>
      </c>
      <c r="F34">
        <f t="shared" si="3"/>
        <v>0</v>
      </c>
    </row>
    <row r="35" spans="1:6" x14ac:dyDescent="0.3">
      <c r="A35">
        <v>2</v>
      </c>
      <c r="B35" s="3" t="s">
        <v>73</v>
      </c>
      <c r="C35">
        <f>SUM(C36:C38)</f>
        <v>3</v>
      </c>
      <c r="F35">
        <f>SUM(F36:F38)</f>
        <v>0</v>
      </c>
    </row>
    <row r="36" spans="1:6" x14ac:dyDescent="0.3">
      <c r="B36" s="11" t="s">
        <v>28</v>
      </c>
      <c r="C36" s="13">
        <v>1</v>
      </c>
      <c r="D36" s="14" t="s">
        <v>4</v>
      </c>
      <c r="E36" s="10">
        <f>VLOOKUP(D36,Raw!$A$2:$B$23,2,FALSE)</f>
        <v>0</v>
      </c>
      <c r="F36">
        <f>C36*E36</f>
        <v>0</v>
      </c>
    </row>
    <row r="37" spans="1:6" x14ac:dyDescent="0.3">
      <c r="B37" s="11" t="s">
        <v>131</v>
      </c>
      <c r="C37" s="13">
        <v>1</v>
      </c>
      <c r="D37" s="14" t="s">
        <v>4</v>
      </c>
      <c r="E37" s="10">
        <f>VLOOKUP(D37,Raw!$A$2:$B$23,2,FALSE)</f>
        <v>0</v>
      </c>
      <c r="F37">
        <f t="shared" ref="F37:F38" si="4">C37*E37</f>
        <v>0</v>
      </c>
    </row>
    <row r="38" spans="1:6" x14ac:dyDescent="0.3">
      <c r="B38" s="11" t="s">
        <v>132</v>
      </c>
      <c r="C38" s="13">
        <v>1</v>
      </c>
      <c r="D38" s="14" t="s">
        <v>4</v>
      </c>
      <c r="E38" s="10">
        <f>VLOOKUP(D38,Raw!$A$2:$B$23,2,FALSE)</f>
        <v>0</v>
      </c>
      <c r="F38">
        <f t="shared" si="4"/>
        <v>0</v>
      </c>
    </row>
    <row r="39" spans="1:6" s="2" customFormat="1" x14ac:dyDescent="0.3">
      <c r="B39" s="7"/>
    </row>
    <row r="40" spans="1:6" s="2" customFormat="1" x14ac:dyDescent="0.3">
      <c r="B40" s="7" t="s">
        <v>74</v>
      </c>
      <c r="C40" s="2">
        <f>SUM(C41,C42,C47,C51,C62)</f>
        <v>13.5</v>
      </c>
      <c r="F40" s="2">
        <f>SUM(F41,F42,F47,F51,F62)</f>
        <v>0</v>
      </c>
    </row>
    <row r="41" spans="1:6" x14ac:dyDescent="0.3">
      <c r="A41">
        <v>1</v>
      </c>
      <c r="B41" s="11" t="s">
        <v>124</v>
      </c>
      <c r="C41" s="13">
        <v>1</v>
      </c>
      <c r="D41" s="14" t="s">
        <v>4</v>
      </c>
      <c r="E41" s="10">
        <f>VLOOKUP(D41,Raw!$A$2:$B$23,2,FALSE)</f>
        <v>0</v>
      </c>
      <c r="F41">
        <f>C41*E41</f>
        <v>0</v>
      </c>
    </row>
    <row r="42" spans="1:6" x14ac:dyDescent="0.3">
      <c r="A42">
        <v>2</v>
      </c>
      <c r="B42" s="3" t="s">
        <v>125</v>
      </c>
      <c r="C42">
        <f>SUM(C43:C46)</f>
        <v>2</v>
      </c>
      <c r="F42">
        <f>SUM(F43:F46)</f>
        <v>0</v>
      </c>
    </row>
    <row r="43" spans="1:6" x14ac:dyDescent="0.3">
      <c r="B43" s="11" t="s">
        <v>36</v>
      </c>
      <c r="C43" s="13">
        <v>0.5</v>
      </c>
      <c r="D43" s="14" t="s">
        <v>4</v>
      </c>
      <c r="E43" s="10">
        <f>VLOOKUP(D43,Raw!$A$2:$B$23,2,FALSE)</f>
        <v>0</v>
      </c>
      <c r="F43">
        <f>C43*E43</f>
        <v>0</v>
      </c>
    </row>
    <row r="44" spans="1:6" x14ac:dyDescent="0.3">
      <c r="B44" s="11" t="s">
        <v>113</v>
      </c>
      <c r="C44" s="13">
        <v>0.5</v>
      </c>
      <c r="D44" s="14" t="s">
        <v>4</v>
      </c>
      <c r="E44" s="10">
        <f>VLOOKUP(D44,Raw!$A$2:$B$23,2,FALSE)</f>
        <v>0</v>
      </c>
      <c r="F44">
        <f t="shared" ref="F44:F46" si="5">C44*E44</f>
        <v>0</v>
      </c>
    </row>
    <row r="45" spans="1:6" x14ac:dyDescent="0.3">
      <c r="A45" s="16"/>
      <c r="B45" s="11" t="s">
        <v>127</v>
      </c>
      <c r="C45" s="13">
        <v>0.5</v>
      </c>
      <c r="D45" s="14" t="s">
        <v>4</v>
      </c>
      <c r="E45" s="10">
        <f>VLOOKUP(D45,Raw!$A$2:$B$23,2,FALSE)</f>
        <v>0</v>
      </c>
      <c r="F45">
        <f t="shared" si="5"/>
        <v>0</v>
      </c>
    </row>
    <row r="46" spans="1:6" x14ac:dyDescent="0.3">
      <c r="A46" s="16"/>
      <c r="B46" s="11" t="s">
        <v>72</v>
      </c>
      <c r="C46" s="13">
        <v>0.5</v>
      </c>
      <c r="D46" s="14" t="s">
        <v>4</v>
      </c>
      <c r="E46" s="10">
        <f>VLOOKUP(D46,Raw!$A$2:$B$23,2,FALSE)</f>
        <v>0</v>
      </c>
      <c r="F46">
        <f t="shared" si="5"/>
        <v>0</v>
      </c>
    </row>
    <row r="47" spans="1:6" x14ac:dyDescent="0.3">
      <c r="A47">
        <v>3</v>
      </c>
      <c r="B47" s="3" t="s">
        <v>126</v>
      </c>
      <c r="C47">
        <f>SUM(C48:C50)</f>
        <v>1.5</v>
      </c>
      <c r="F47">
        <f>SUM(F48:F50)</f>
        <v>0</v>
      </c>
    </row>
    <row r="48" spans="1:6" x14ac:dyDescent="0.3">
      <c r="B48" s="11" t="s">
        <v>36</v>
      </c>
      <c r="C48" s="13">
        <v>0.5</v>
      </c>
      <c r="D48" s="14" t="s">
        <v>4</v>
      </c>
      <c r="E48" s="10">
        <f>VLOOKUP(D48,Raw!$A$2:$B$23,2,FALSE)</f>
        <v>0</v>
      </c>
      <c r="F48">
        <f>C48*E48</f>
        <v>0</v>
      </c>
    </row>
    <row r="49" spans="1:6" x14ac:dyDescent="0.3">
      <c r="A49" s="16"/>
      <c r="B49" s="11" t="s">
        <v>71</v>
      </c>
      <c r="C49" s="13">
        <v>0.5</v>
      </c>
      <c r="D49" s="14" t="s">
        <v>4</v>
      </c>
      <c r="E49" s="10">
        <f>VLOOKUP(D49,Raw!$A$2:$B$23,2,FALSE)</f>
        <v>0</v>
      </c>
      <c r="F49">
        <f t="shared" ref="F49:F50" si="6">C49*E49</f>
        <v>0</v>
      </c>
    </row>
    <row r="50" spans="1:6" x14ac:dyDescent="0.3">
      <c r="A50" s="16"/>
      <c r="B50" s="11" t="s">
        <v>72</v>
      </c>
      <c r="C50" s="13">
        <v>0.5</v>
      </c>
      <c r="D50" s="14" t="s">
        <v>4</v>
      </c>
      <c r="E50" s="10">
        <f>VLOOKUP(D50,Raw!$A$2:$B$23,2,FALSE)</f>
        <v>0</v>
      </c>
      <c r="F50">
        <f t="shared" si="6"/>
        <v>0</v>
      </c>
    </row>
    <row r="51" spans="1:6" x14ac:dyDescent="0.3">
      <c r="A51" s="16">
        <v>4</v>
      </c>
      <c r="B51" s="3" t="s">
        <v>114</v>
      </c>
      <c r="C51">
        <f>SUM(C52:C61)</f>
        <v>5</v>
      </c>
      <c r="D51" s="2"/>
      <c r="E51" s="2"/>
      <c r="F51">
        <f>SUM(F52:F61)</f>
        <v>0</v>
      </c>
    </row>
    <row r="52" spans="1:6" x14ac:dyDescent="0.3">
      <c r="A52" s="16"/>
      <c r="B52" s="11" t="s">
        <v>128</v>
      </c>
      <c r="C52" s="13">
        <v>0.5</v>
      </c>
      <c r="D52" s="14" t="s">
        <v>4</v>
      </c>
      <c r="E52" s="10">
        <f>VLOOKUP(D52,Raw!$A$2:$B$23,2,FALSE)</f>
        <v>0</v>
      </c>
      <c r="F52">
        <f>C52*E52</f>
        <v>0</v>
      </c>
    </row>
    <row r="53" spans="1:6" x14ac:dyDescent="0.3">
      <c r="A53" s="16"/>
      <c r="B53" s="11" t="s">
        <v>129</v>
      </c>
      <c r="C53" s="13">
        <v>0.5</v>
      </c>
      <c r="D53" s="14" t="s">
        <v>4</v>
      </c>
      <c r="E53" s="10">
        <f>VLOOKUP(D53,Raw!$A$2:$B$23,2,FALSE)</f>
        <v>0</v>
      </c>
      <c r="F53">
        <f t="shared" ref="F53:F61" si="7">C53*E53</f>
        <v>0</v>
      </c>
    </row>
    <row r="54" spans="1:6" x14ac:dyDescent="0.3">
      <c r="A54" s="16"/>
      <c r="B54" s="11" t="s">
        <v>88</v>
      </c>
      <c r="C54" s="13">
        <v>0.5</v>
      </c>
      <c r="D54" s="14" t="s">
        <v>4</v>
      </c>
      <c r="E54" s="10">
        <f>VLOOKUP(D54,Raw!$A$2:$B$23,2,FALSE)</f>
        <v>0</v>
      </c>
      <c r="F54">
        <f t="shared" si="7"/>
        <v>0</v>
      </c>
    </row>
    <row r="55" spans="1:6" x14ac:dyDescent="0.3">
      <c r="A55" s="16"/>
      <c r="B55" s="11" t="s">
        <v>130</v>
      </c>
      <c r="C55" s="13">
        <v>0.5</v>
      </c>
      <c r="D55" s="14" t="s">
        <v>4</v>
      </c>
      <c r="E55" s="10">
        <f>VLOOKUP(D55,Raw!$A$2:$B$23,2,FALSE)</f>
        <v>0</v>
      </c>
      <c r="F55">
        <f t="shared" si="7"/>
        <v>0</v>
      </c>
    </row>
    <row r="56" spans="1:6" x14ac:dyDescent="0.3">
      <c r="A56" s="16"/>
      <c r="B56" s="11" t="s">
        <v>115</v>
      </c>
      <c r="C56" s="13">
        <v>0.5</v>
      </c>
      <c r="D56" s="14" t="s">
        <v>4</v>
      </c>
      <c r="E56" s="10">
        <f>VLOOKUP(D56,Raw!$A$2:$B$23,2,FALSE)</f>
        <v>0</v>
      </c>
      <c r="F56">
        <f t="shared" si="7"/>
        <v>0</v>
      </c>
    </row>
    <row r="57" spans="1:6" x14ac:dyDescent="0.3">
      <c r="A57" s="16"/>
      <c r="B57" s="11" t="s">
        <v>116</v>
      </c>
      <c r="C57" s="13">
        <v>0.5</v>
      </c>
      <c r="D57" s="14" t="s">
        <v>4</v>
      </c>
      <c r="E57" s="10">
        <f>VLOOKUP(D57,Raw!$A$2:$B$23,2,FALSE)</f>
        <v>0</v>
      </c>
      <c r="F57">
        <f t="shared" si="7"/>
        <v>0</v>
      </c>
    </row>
    <row r="58" spans="1:6" x14ac:dyDescent="0.3">
      <c r="A58" s="16"/>
      <c r="B58" s="11" t="s">
        <v>117</v>
      </c>
      <c r="C58" s="13">
        <v>0.5</v>
      </c>
      <c r="D58" s="14" t="s">
        <v>4</v>
      </c>
      <c r="E58" s="10">
        <f>VLOOKUP(D58,Raw!$A$2:$B$23,2,FALSE)</f>
        <v>0</v>
      </c>
      <c r="F58">
        <f t="shared" si="7"/>
        <v>0</v>
      </c>
    </row>
    <row r="59" spans="1:6" x14ac:dyDescent="0.3">
      <c r="A59" s="16"/>
      <c r="B59" s="11" t="s">
        <v>118</v>
      </c>
      <c r="C59" s="13">
        <v>0.5</v>
      </c>
      <c r="D59" s="14" t="s">
        <v>4</v>
      </c>
      <c r="E59" s="10">
        <f>VLOOKUP(D59,Raw!$A$2:$B$23,2,FALSE)</f>
        <v>0</v>
      </c>
      <c r="F59">
        <f t="shared" si="7"/>
        <v>0</v>
      </c>
    </row>
    <row r="60" spans="1:6" x14ac:dyDescent="0.3">
      <c r="A60" s="16"/>
      <c r="B60" s="11" t="s">
        <v>119</v>
      </c>
      <c r="C60" s="13">
        <v>0.5</v>
      </c>
      <c r="D60" s="14" t="s">
        <v>4</v>
      </c>
      <c r="E60" s="10">
        <f>VLOOKUP(D60,Raw!$A$2:$B$23,2,FALSE)</f>
        <v>0</v>
      </c>
      <c r="F60">
        <f t="shared" si="7"/>
        <v>0</v>
      </c>
    </row>
    <row r="61" spans="1:6" x14ac:dyDescent="0.3">
      <c r="A61" s="16"/>
      <c r="B61" s="11" t="s">
        <v>120</v>
      </c>
      <c r="C61" s="13">
        <v>0.5</v>
      </c>
      <c r="D61" s="14" t="s">
        <v>4</v>
      </c>
      <c r="E61" s="10">
        <f>VLOOKUP(D61,Raw!$A$2:$B$23,2,FALSE)</f>
        <v>0</v>
      </c>
      <c r="F61">
        <f t="shared" si="7"/>
        <v>0</v>
      </c>
    </row>
    <row r="62" spans="1:6" x14ac:dyDescent="0.3">
      <c r="A62" s="16">
        <v>5</v>
      </c>
      <c r="B62" s="3" t="s">
        <v>121</v>
      </c>
      <c r="C62">
        <f>SUM(C63:C64)</f>
        <v>4</v>
      </c>
      <c r="D62" s="2"/>
      <c r="E62" s="2"/>
      <c r="F62">
        <f>SUM(F63:F64)</f>
        <v>0</v>
      </c>
    </row>
    <row r="63" spans="1:6" x14ac:dyDescent="0.3">
      <c r="A63" s="16"/>
      <c r="B63" s="11" t="s">
        <v>122</v>
      </c>
      <c r="C63" s="13">
        <v>2</v>
      </c>
      <c r="D63" s="14" t="s">
        <v>4</v>
      </c>
      <c r="E63" s="10">
        <f>VLOOKUP(D63,Raw!$A$2:$B$23,2,FALSE)</f>
        <v>0</v>
      </c>
      <c r="F63">
        <f>C63*E63</f>
        <v>0</v>
      </c>
    </row>
    <row r="64" spans="1:6" x14ac:dyDescent="0.3">
      <c r="A64" s="16"/>
      <c r="B64" s="11" t="s">
        <v>123</v>
      </c>
      <c r="C64" s="13">
        <v>2</v>
      </c>
      <c r="D64" s="14" t="s">
        <v>4</v>
      </c>
      <c r="E64" s="10">
        <f>VLOOKUP(D64,Raw!$A$2:$B$23,2,FALSE)</f>
        <v>0</v>
      </c>
      <c r="F64">
        <f>C64*E64</f>
        <v>0</v>
      </c>
    </row>
    <row r="65" spans="1:6" s="2" customFormat="1" x14ac:dyDescent="0.3">
      <c r="B65" s="7"/>
    </row>
    <row r="66" spans="1:6" s="2" customFormat="1" x14ac:dyDescent="0.3">
      <c r="B66" s="7" t="s">
        <v>75</v>
      </c>
      <c r="C66" s="2">
        <f>SUM(C67,C82,C86)</f>
        <v>22</v>
      </c>
      <c r="F66" s="2">
        <f>SUM(F67,F82,F86)</f>
        <v>0</v>
      </c>
    </row>
    <row r="67" spans="1:6" x14ac:dyDescent="0.3">
      <c r="A67" s="16">
        <v>1</v>
      </c>
      <c r="B67" s="3" t="s">
        <v>105</v>
      </c>
      <c r="C67">
        <f>SUM(C68:C81)</f>
        <v>14</v>
      </c>
      <c r="D67" s="2"/>
      <c r="E67" s="2"/>
      <c r="F67">
        <f>SUM(F68:F81)</f>
        <v>0</v>
      </c>
    </row>
    <row r="68" spans="1:6" x14ac:dyDescent="0.3">
      <c r="A68" s="16"/>
      <c r="B68" s="11" t="s">
        <v>36</v>
      </c>
      <c r="C68" s="13">
        <v>0.5</v>
      </c>
      <c r="D68" s="14" t="s">
        <v>4</v>
      </c>
      <c r="E68" s="10">
        <f>VLOOKUP(D68,Raw!$A$2:$B$23,2,FALSE)</f>
        <v>0</v>
      </c>
      <c r="F68">
        <f>C68*E68</f>
        <v>0</v>
      </c>
    </row>
    <row r="69" spans="1:6" x14ac:dyDescent="0.3">
      <c r="A69" s="16"/>
      <c r="B69" s="11" t="s">
        <v>88</v>
      </c>
      <c r="C69" s="13">
        <v>0.5</v>
      </c>
      <c r="D69" s="14" t="s">
        <v>4</v>
      </c>
      <c r="E69" s="10">
        <f>VLOOKUP(D69,Raw!$A$2:$B$23,2,FALSE)</f>
        <v>0</v>
      </c>
      <c r="F69">
        <f t="shared" ref="F69:F81" si="8">C69*E69</f>
        <v>0</v>
      </c>
    </row>
    <row r="70" spans="1:6" x14ac:dyDescent="0.3">
      <c r="A70" s="16"/>
      <c r="B70" s="11" t="s">
        <v>89</v>
      </c>
      <c r="C70" s="13">
        <v>2</v>
      </c>
      <c r="D70" s="14" t="s">
        <v>4</v>
      </c>
      <c r="E70" s="10">
        <f>VLOOKUP(D70,Raw!$A$2:$B$23,2,FALSE)</f>
        <v>0</v>
      </c>
      <c r="F70">
        <f t="shared" si="8"/>
        <v>0</v>
      </c>
    </row>
    <row r="71" spans="1:6" x14ac:dyDescent="0.3">
      <c r="A71" s="16"/>
      <c r="B71" s="11" t="s">
        <v>107</v>
      </c>
      <c r="C71" s="13">
        <v>1</v>
      </c>
      <c r="D71" s="14" t="s">
        <v>4</v>
      </c>
      <c r="E71" s="10">
        <f>VLOOKUP(D71,Raw!$A$2:$B$23,2,FALSE)</f>
        <v>0</v>
      </c>
      <c r="F71">
        <f t="shared" si="8"/>
        <v>0</v>
      </c>
    </row>
    <row r="72" spans="1:6" x14ac:dyDescent="0.3">
      <c r="A72" s="16"/>
      <c r="B72" s="11" t="s">
        <v>108</v>
      </c>
      <c r="C72" s="13">
        <v>1</v>
      </c>
      <c r="D72" s="14" t="s">
        <v>4</v>
      </c>
      <c r="E72" s="10">
        <f>VLOOKUP(D72,Raw!$A$2:$B$23,2,FALSE)</f>
        <v>0</v>
      </c>
      <c r="F72">
        <f t="shared" si="8"/>
        <v>0</v>
      </c>
    </row>
    <row r="73" spans="1:6" x14ac:dyDescent="0.3">
      <c r="A73" s="16"/>
      <c r="B73" s="11" t="s">
        <v>94</v>
      </c>
      <c r="C73" s="13">
        <v>1</v>
      </c>
      <c r="D73" s="14" t="s">
        <v>4</v>
      </c>
      <c r="E73" s="10">
        <f>VLOOKUP(D73,Raw!$A$2:$B$23,2,FALSE)</f>
        <v>0</v>
      </c>
      <c r="F73">
        <f t="shared" si="8"/>
        <v>0</v>
      </c>
    </row>
    <row r="74" spans="1:6" x14ac:dyDescent="0.3">
      <c r="A74" s="16"/>
      <c r="B74" s="11" t="s">
        <v>92</v>
      </c>
      <c r="C74" s="13">
        <v>1</v>
      </c>
      <c r="D74" s="14" t="s">
        <v>4</v>
      </c>
      <c r="E74" s="10">
        <f>VLOOKUP(D74,Raw!$A$2:$B$23,2,FALSE)</f>
        <v>0</v>
      </c>
      <c r="F74">
        <f t="shared" si="8"/>
        <v>0</v>
      </c>
    </row>
    <row r="75" spans="1:6" x14ac:dyDescent="0.3">
      <c r="A75" s="16"/>
      <c r="B75" s="11" t="s">
        <v>93</v>
      </c>
      <c r="C75" s="13">
        <v>1</v>
      </c>
      <c r="D75" s="14" t="s">
        <v>4</v>
      </c>
      <c r="E75" s="10">
        <f>VLOOKUP(D75,Raw!$A$2:$B$23,2,FALSE)</f>
        <v>0</v>
      </c>
      <c r="F75">
        <f t="shared" si="8"/>
        <v>0</v>
      </c>
    </row>
    <row r="76" spans="1:6" x14ac:dyDescent="0.3">
      <c r="A76" s="16"/>
      <c r="B76" s="11" t="s">
        <v>110</v>
      </c>
      <c r="C76" s="13">
        <v>1</v>
      </c>
      <c r="D76" s="14" t="s">
        <v>4</v>
      </c>
      <c r="E76" s="10">
        <f>VLOOKUP(D76,Raw!$A$2:$B$23,2,FALSE)</f>
        <v>0</v>
      </c>
      <c r="F76">
        <f t="shared" si="8"/>
        <v>0</v>
      </c>
    </row>
    <row r="77" spans="1:6" x14ac:dyDescent="0.3">
      <c r="A77" s="16"/>
      <c r="B77" s="11" t="s">
        <v>109</v>
      </c>
      <c r="C77" s="13">
        <v>1</v>
      </c>
      <c r="D77" s="14" t="s">
        <v>4</v>
      </c>
      <c r="E77" s="10">
        <f>VLOOKUP(D77,Raw!$A$2:$B$23,2,FALSE)</f>
        <v>0</v>
      </c>
      <c r="F77">
        <f t="shared" si="8"/>
        <v>0</v>
      </c>
    </row>
    <row r="78" spans="1:6" x14ac:dyDescent="0.3">
      <c r="A78" s="16"/>
      <c r="B78" s="11" t="s">
        <v>90</v>
      </c>
      <c r="C78" s="13">
        <v>1</v>
      </c>
      <c r="D78" s="14" t="s">
        <v>4</v>
      </c>
      <c r="E78" s="10">
        <f>VLOOKUP(D78,Raw!$A$2:$B$23,2,FALSE)</f>
        <v>0</v>
      </c>
      <c r="F78">
        <f t="shared" si="8"/>
        <v>0</v>
      </c>
    </row>
    <row r="79" spans="1:6" x14ac:dyDescent="0.3">
      <c r="A79" s="16"/>
      <c r="B79" s="11" t="s">
        <v>106</v>
      </c>
      <c r="C79" s="13">
        <v>1</v>
      </c>
      <c r="D79" s="14" t="s">
        <v>4</v>
      </c>
      <c r="E79" s="10">
        <f>VLOOKUP(D79,Raw!$A$2:$B$23,2,FALSE)</f>
        <v>0</v>
      </c>
      <c r="F79">
        <f t="shared" si="8"/>
        <v>0</v>
      </c>
    </row>
    <row r="80" spans="1:6" x14ac:dyDescent="0.3">
      <c r="A80" s="16"/>
      <c r="B80" s="11" t="s">
        <v>91</v>
      </c>
      <c r="C80" s="13">
        <v>1</v>
      </c>
      <c r="D80" s="14" t="s">
        <v>4</v>
      </c>
      <c r="E80" s="10">
        <f>VLOOKUP(D80,Raw!$A$2:$B$23,2,FALSE)</f>
        <v>0</v>
      </c>
      <c r="F80">
        <f t="shared" si="8"/>
        <v>0</v>
      </c>
    </row>
    <row r="81" spans="1:6" x14ac:dyDescent="0.3">
      <c r="A81" s="16"/>
      <c r="B81" s="11" t="s">
        <v>37</v>
      </c>
      <c r="C81" s="13">
        <v>1</v>
      </c>
      <c r="D81" s="14" t="s">
        <v>4</v>
      </c>
      <c r="E81" s="10">
        <f>VLOOKUP(D81,Raw!$A$2:$B$23,2,FALSE)</f>
        <v>0</v>
      </c>
      <c r="F81">
        <f t="shared" si="8"/>
        <v>0</v>
      </c>
    </row>
    <row r="82" spans="1:6" x14ac:dyDescent="0.3">
      <c r="A82" s="16">
        <v>2</v>
      </c>
      <c r="B82" s="3" t="s">
        <v>95</v>
      </c>
      <c r="C82">
        <f>SUM(C83:C85)</f>
        <v>3</v>
      </c>
      <c r="D82" s="2"/>
      <c r="E82" s="2"/>
      <c r="F82">
        <f>SUM(F83:F85)</f>
        <v>0</v>
      </c>
    </row>
    <row r="83" spans="1:6" x14ac:dyDescent="0.3">
      <c r="A83" s="16"/>
      <c r="B83" s="11" t="s">
        <v>96</v>
      </c>
      <c r="C83" s="13">
        <v>1</v>
      </c>
      <c r="D83" s="14" t="s">
        <v>4</v>
      </c>
      <c r="E83" s="10">
        <f>VLOOKUP(D83,Raw!$A$2:$B$23,2,FALSE)</f>
        <v>0</v>
      </c>
      <c r="F83">
        <f>C83*E83</f>
        <v>0</v>
      </c>
    </row>
    <row r="84" spans="1:6" x14ac:dyDescent="0.3">
      <c r="A84" s="16"/>
      <c r="B84" s="11" t="s">
        <v>97</v>
      </c>
      <c r="C84" s="13">
        <v>1</v>
      </c>
      <c r="D84" s="14" t="s">
        <v>4</v>
      </c>
      <c r="E84" s="10">
        <f>VLOOKUP(D84,Raw!$A$2:$B$23,2,FALSE)</f>
        <v>0</v>
      </c>
      <c r="F84">
        <f t="shared" ref="F84:F85" si="9">C84*E84</f>
        <v>0</v>
      </c>
    </row>
    <row r="85" spans="1:6" x14ac:dyDescent="0.3">
      <c r="A85" s="16"/>
      <c r="B85" s="11" t="s">
        <v>98</v>
      </c>
      <c r="C85" s="13">
        <v>1</v>
      </c>
      <c r="D85" s="14" t="s">
        <v>4</v>
      </c>
      <c r="E85" s="10">
        <f>VLOOKUP(D85,Raw!$A$2:$B$23,2,FALSE)</f>
        <v>0</v>
      </c>
      <c r="F85">
        <f t="shared" si="9"/>
        <v>0</v>
      </c>
    </row>
    <row r="86" spans="1:6" x14ac:dyDescent="0.3">
      <c r="A86" s="16">
        <v>3</v>
      </c>
      <c r="B86" s="3" t="s">
        <v>99</v>
      </c>
      <c r="C86">
        <f>SUM(C87:C91)</f>
        <v>5</v>
      </c>
      <c r="D86" s="2"/>
      <c r="E86" s="2"/>
      <c r="F86">
        <f>SUM(F87:F91)</f>
        <v>0</v>
      </c>
    </row>
    <row r="87" spans="1:6" x14ac:dyDescent="0.3">
      <c r="A87" s="16"/>
      <c r="B87" s="11" t="s">
        <v>100</v>
      </c>
      <c r="C87" s="13">
        <v>1</v>
      </c>
      <c r="D87" s="14" t="s">
        <v>4</v>
      </c>
      <c r="E87" s="10">
        <f>VLOOKUP(D87,Raw!$A$2:$B$23,2,FALSE)</f>
        <v>0</v>
      </c>
      <c r="F87">
        <f>C87*E87</f>
        <v>0</v>
      </c>
    </row>
    <row r="88" spans="1:6" x14ac:dyDescent="0.3">
      <c r="A88" s="16"/>
      <c r="B88" s="11" t="s">
        <v>101</v>
      </c>
      <c r="C88" s="13">
        <v>1</v>
      </c>
      <c r="D88" s="14" t="s">
        <v>4</v>
      </c>
      <c r="E88" s="10">
        <f>VLOOKUP(D88,Raw!$A$2:$B$23,2,FALSE)</f>
        <v>0</v>
      </c>
      <c r="F88">
        <f t="shared" ref="F88:F91" si="10">C88*E88</f>
        <v>0</v>
      </c>
    </row>
    <row r="89" spans="1:6" x14ac:dyDescent="0.3">
      <c r="A89" s="16"/>
      <c r="B89" s="11" t="s">
        <v>102</v>
      </c>
      <c r="C89" s="13">
        <v>1</v>
      </c>
      <c r="D89" s="14" t="s">
        <v>4</v>
      </c>
      <c r="E89" s="10">
        <f>VLOOKUP(D89,Raw!$A$2:$B$23,2,FALSE)</f>
        <v>0</v>
      </c>
      <c r="F89">
        <f t="shared" si="10"/>
        <v>0</v>
      </c>
    </row>
    <row r="90" spans="1:6" x14ac:dyDescent="0.3">
      <c r="A90" s="16"/>
      <c r="B90" s="11" t="s">
        <v>103</v>
      </c>
      <c r="C90" s="13">
        <v>1</v>
      </c>
      <c r="D90" s="14" t="s">
        <v>4</v>
      </c>
      <c r="E90" s="10">
        <f>VLOOKUP(D90,Raw!$A$2:$B$23,2,FALSE)</f>
        <v>0</v>
      </c>
      <c r="F90">
        <f t="shared" si="10"/>
        <v>0</v>
      </c>
    </row>
    <row r="91" spans="1:6" x14ac:dyDescent="0.3">
      <c r="A91" s="16"/>
      <c r="B91" s="11" t="s">
        <v>104</v>
      </c>
      <c r="C91" s="13">
        <v>1</v>
      </c>
      <c r="D91" s="14" t="s">
        <v>4</v>
      </c>
      <c r="E91" s="10">
        <f>VLOOKUP(D91,Raw!$A$2:$B$23,2,FALSE)</f>
        <v>0</v>
      </c>
      <c r="F91">
        <f t="shared" si="10"/>
        <v>0</v>
      </c>
    </row>
    <row r="92" spans="1:6" x14ac:dyDescent="0.3">
      <c r="B92" s="11"/>
      <c r="C92" s="13"/>
      <c r="D92" s="13"/>
    </row>
    <row r="93" spans="1:6" s="2" customFormat="1" x14ac:dyDescent="0.3">
      <c r="B93" s="7" t="s">
        <v>57</v>
      </c>
      <c r="C93" s="1">
        <f>SUM(C94,C97)</f>
        <v>6</v>
      </c>
      <c r="D93" s="1"/>
      <c r="E93" s="1"/>
      <c r="F93" s="1">
        <f>SUM(F94,F97)</f>
        <v>0</v>
      </c>
    </row>
    <row r="94" spans="1:6" x14ac:dyDescent="0.3">
      <c r="A94">
        <v>1</v>
      </c>
      <c r="B94" s="5" t="s">
        <v>58</v>
      </c>
      <c r="C94">
        <f>SUM(C95:C96)</f>
        <v>2</v>
      </c>
      <c r="F94">
        <f>SUM(F95:F96)</f>
        <v>0</v>
      </c>
    </row>
    <row r="95" spans="1:6" x14ac:dyDescent="0.3">
      <c r="B95" s="12" t="s">
        <v>59</v>
      </c>
      <c r="C95" s="13">
        <v>1</v>
      </c>
      <c r="D95" s="14" t="s">
        <v>4</v>
      </c>
      <c r="E95" s="10">
        <f>VLOOKUP(D95,Raw!$A$2:$B$23,2,FALSE)</f>
        <v>0</v>
      </c>
      <c r="F95">
        <f>C95*E95</f>
        <v>0</v>
      </c>
    </row>
    <row r="96" spans="1:6" x14ac:dyDescent="0.3">
      <c r="B96" s="12" t="s">
        <v>60</v>
      </c>
      <c r="C96" s="13">
        <v>1</v>
      </c>
      <c r="D96" s="14" t="s">
        <v>4</v>
      </c>
      <c r="E96" s="10">
        <f>VLOOKUP(D96,Raw!$A$2:$B$23,2,FALSE)</f>
        <v>0</v>
      </c>
      <c r="F96">
        <f>C96*E96</f>
        <v>0</v>
      </c>
    </row>
    <row r="97" spans="1:6" x14ac:dyDescent="0.3">
      <c r="A97">
        <v>2</v>
      </c>
      <c r="B97" s="3" t="s">
        <v>61</v>
      </c>
      <c r="C97">
        <f>SUM(C98:C99)</f>
        <v>4</v>
      </c>
      <c r="F97">
        <f>SUM(F98:F99)</f>
        <v>0</v>
      </c>
    </row>
    <row r="98" spans="1:6" x14ac:dyDescent="0.3">
      <c r="B98" s="12" t="s">
        <v>63</v>
      </c>
      <c r="C98" s="13">
        <v>2</v>
      </c>
      <c r="D98" s="14" t="s">
        <v>4</v>
      </c>
      <c r="E98" s="10">
        <f>VLOOKUP(D98,Raw!$A$2:$B$23,2,FALSE)</f>
        <v>0</v>
      </c>
      <c r="F98">
        <f>C98*E98</f>
        <v>0</v>
      </c>
    </row>
    <row r="99" spans="1:6" x14ac:dyDescent="0.3">
      <c r="B99" s="12" t="s">
        <v>62</v>
      </c>
      <c r="C99" s="13">
        <v>2</v>
      </c>
      <c r="D99" s="14" t="s">
        <v>4</v>
      </c>
      <c r="E99" s="10">
        <f>VLOOKUP(D99,Raw!$A$2:$B$23,2,FALSE)</f>
        <v>0</v>
      </c>
      <c r="F99">
        <f>C99*E99</f>
        <v>0</v>
      </c>
    </row>
    <row r="100" spans="1:6" x14ac:dyDescent="0.3">
      <c r="B100" s="11"/>
      <c r="C100" s="13"/>
      <c r="D100" s="13"/>
    </row>
    <row r="101" spans="1:6" s="2" customFormat="1" x14ac:dyDescent="0.3">
      <c r="B101" s="7" t="s">
        <v>14</v>
      </c>
      <c r="C101" s="1">
        <f>SUM(C102,C119,C125,C128)</f>
        <v>32</v>
      </c>
      <c r="D101" s="1"/>
      <c r="E101" s="1"/>
      <c r="F101" s="1">
        <f>SUM(F102,F119,F125,F128)</f>
        <v>0</v>
      </c>
    </row>
    <row r="102" spans="1:6" x14ac:dyDescent="0.3">
      <c r="A102">
        <v>1</v>
      </c>
      <c r="B102" s="5" t="s">
        <v>16</v>
      </c>
      <c r="C102">
        <f>SUM(C103:C118)</f>
        <v>14</v>
      </c>
      <c r="F102">
        <f>SUM(F103:F118)</f>
        <v>0</v>
      </c>
    </row>
    <row r="103" spans="1:6" x14ac:dyDescent="0.3">
      <c r="B103" s="12" t="s">
        <v>20</v>
      </c>
      <c r="C103" s="13">
        <v>1</v>
      </c>
      <c r="D103" s="14" t="s">
        <v>4</v>
      </c>
      <c r="E103" s="10">
        <f>VLOOKUP(D103,Raw!$A$2:$B$23,2,FALSE)</f>
        <v>0</v>
      </c>
      <c r="F103">
        <f>C103*E103</f>
        <v>0</v>
      </c>
    </row>
    <row r="104" spans="1:6" x14ac:dyDescent="0.3">
      <c r="B104" s="12" t="s">
        <v>21</v>
      </c>
      <c r="C104" s="13">
        <v>1</v>
      </c>
      <c r="D104" s="14" t="s">
        <v>4</v>
      </c>
      <c r="E104" s="10">
        <f>VLOOKUP(D104,Raw!$A$2:$B$23,2,FALSE)</f>
        <v>0</v>
      </c>
      <c r="F104">
        <f t="shared" ref="F104:F118" si="11">C104*E104</f>
        <v>0</v>
      </c>
    </row>
    <row r="105" spans="1:6" x14ac:dyDescent="0.3">
      <c r="B105" s="12" t="s">
        <v>22</v>
      </c>
      <c r="C105" s="13">
        <v>1</v>
      </c>
      <c r="D105" s="14" t="s">
        <v>4</v>
      </c>
      <c r="E105" s="10">
        <f>VLOOKUP(D105,Raw!$A$2:$B$23,2,FALSE)</f>
        <v>0</v>
      </c>
      <c r="F105">
        <f t="shared" si="11"/>
        <v>0</v>
      </c>
    </row>
    <row r="106" spans="1:6" x14ac:dyDescent="0.3">
      <c r="B106" s="12" t="s">
        <v>82</v>
      </c>
      <c r="C106" s="13">
        <v>1</v>
      </c>
      <c r="D106" s="14" t="s">
        <v>4</v>
      </c>
      <c r="E106" s="10">
        <f>VLOOKUP(D106,Raw!$A$2:$B$23,2,FALSE)</f>
        <v>0</v>
      </c>
      <c r="F106">
        <f t="shared" si="11"/>
        <v>0</v>
      </c>
    </row>
    <row r="107" spans="1:6" x14ac:dyDescent="0.3">
      <c r="B107" s="12" t="s">
        <v>78</v>
      </c>
      <c r="C107" s="13">
        <v>1</v>
      </c>
      <c r="D107" s="14" t="s">
        <v>4</v>
      </c>
      <c r="E107" s="10">
        <f>VLOOKUP(D107,Raw!$A$2:$B$23,2,FALSE)</f>
        <v>0</v>
      </c>
      <c r="F107">
        <f t="shared" si="11"/>
        <v>0</v>
      </c>
    </row>
    <row r="108" spans="1:6" x14ac:dyDescent="0.3">
      <c r="B108" s="12" t="s">
        <v>23</v>
      </c>
      <c r="C108" s="13">
        <v>0.5</v>
      </c>
      <c r="D108" s="14" t="s">
        <v>4</v>
      </c>
      <c r="E108" s="10">
        <f>VLOOKUP(D108,Raw!$A$2:$B$23,2,FALSE)</f>
        <v>0</v>
      </c>
      <c r="F108">
        <f t="shared" si="11"/>
        <v>0</v>
      </c>
    </row>
    <row r="109" spans="1:6" x14ac:dyDescent="0.3">
      <c r="B109" s="12" t="s">
        <v>76</v>
      </c>
      <c r="C109" s="13">
        <v>0.5</v>
      </c>
      <c r="D109" s="14" t="s">
        <v>4</v>
      </c>
      <c r="E109" s="10">
        <f>VLOOKUP(D109,Raw!$A$2:$B$23,2,FALSE)</f>
        <v>0</v>
      </c>
      <c r="F109">
        <f t="shared" si="11"/>
        <v>0</v>
      </c>
    </row>
    <row r="110" spans="1:6" x14ac:dyDescent="0.3">
      <c r="B110" s="12" t="s">
        <v>77</v>
      </c>
      <c r="C110" s="13">
        <v>0.5</v>
      </c>
      <c r="D110" s="14" t="s">
        <v>4</v>
      </c>
      <c r="E110" s="10">
        <f>VLOOKUP(D110,Raw!$A$2:$B$23,2,FALSE)</f>
        <v>0</v>
      </c>
      <c r="F110">
        <f t="shared" si="11"/>
        <v>0</v>
      </c>
    </row>
    <row r="111" spans="1:6" x14ac:dyDescent="0.3">
      <c r="B111" s="12" t="s">
        <v>83</v>
      </c>
      <c r="C111" s="13">
        <v>1</v>
      </c>
      <c r="D111" s="14" t="s">
        <v>4</v>
      </c>
      <c r="E111" s="10">
        <f>VLOOKUP(D111,Raw!$A$2:$B$23,2,FALSE)</f>
        <v>0</v>
      </c>
      <c r="F111">
        <f t="shared" si="11"/>
        <v>0</v>
      </c>
    </row>
    <row r="112" spans="1:6" x14ac:dyDescent="0.3">
      <c r="B112" s="12" t="s">
        <v>84</v>
      </c>
      <c r="C112" s="13">
        <v>1</v>
      </c>
      <c r="D112" s="14" t="s">
        <v>4</v>
      </c>
      <c r="E112" s="10">
        <f>VLOOKUP(D112,Raw!$A$2:$B$23,2,FALSE)</f>
        <v>0</v>
      </c>
      <c r="F112">
        <f t="shared" si="11"/>
        <v>0</v>
      </c>
    </row>
    <row r="113" spans="1:6" x14ac:dyDescent="0.3">
      <c r="B113" s="12" t="s">
        <v>85</v>
      </c>
      <c r="C113" s="13">
        <v>1</v>
      </c>
      <c r="D113" s="14" t="s">
        <v>4</v>
      </c>
      <c r="E113" s="10">
        <f>VLOOKUP(D113,Raw!$A$2:$B$23,2,FALSE)</f>
        <v>0</v>
      </c>
      <c r="F113">
        <f t="shared" si="11"/>
        <v>0</v>
      </c>
    </row>
    <row r="114" spans="1:6" x14ac:dyDescent="0.3">
      <c r="B114" s="12" t="s">
        <v>86</v>
      </c>
      <c r="C114" s="13">
        <v>1</v>
      </c>
      <c r="D114" s="14" t="s">
        <v>4</v>
      </c>
      <c r="E114" s="10">
        <f>VLOOKUP(D114,Raw!$A$2:$B$23,2,FALSE)</f>
        <v>0</v>
      </c>
      <c r="F114">
        <f t="shared" si="11"/>
        <v>0</v>
      </c>
    </row>
    <row r="115" spans="1:6" x14ac:dyDescent="0.3">
      <c r="B115" s="12" t="s">
        <v>87</v>
      </c>
      <c r="C115" s="13">
        <v>1</v>
      </c>
      <c r="D115" s="14" t="s">
        <v>4</v>
      </c>
      <c r="E115" s="10">
        <f>VLOOKUP(D115,Raw!$A$2:$B$23,2,FALSE)</f>
        <v>0</v>
      </c>
      <c r="F115">
        <f t="shared" si="11"/>
        <v>0</v>
      </c>
    </row>
    <row r="116" spans="1:6" x14ac:dyDescent="0.3">
      <c r="B116" s="12" t="s">
        <v>79</v>
      </c>
      <c r="C116" s="13">
        <v>1</v>
      </c>
      <c r="D116" s="14" t="s">
        <v>4</v>
      </c>
      <c r="E116" s="10">
        <f>VLOOKUP(D116,Raw!$A$2:$B$23,2,FALSE)</f>
        <v>0</v>
      </c>
      <c r="F116">
        <f t="shared" si="11"/>
        <v>0</v>
      </c>
    </row>
    <row r="117" spans="1:6" x14ac:dyDescent="0.3">
      <c r="B117" s="12" t="s">
        <v>80</v>
      </c>
      <c r="C117" s="13">
        <v>1</v>
      </c>
      <c r="D117" s="14" t="s">
        <v>4</v>
      </c>
      <c r="E117" s="10">
        <f>VLOOKUP(D117,Raw!$A$2:$B$23,2,FALSE)</f>
        <v>0</v>
      </c>
      <c r="F117">
        <f t="shared" si="11"/>
        <v>0</v>
      </c>
    </row>
    <row r="118" spans="1:6" x14ac:dyDescent="0.3">
      <c r="B118" s="12" t="s">
        <v>45</v>
      </c>
      <c r="C118" s="13">
        <v>0.5</v>
      </c>
      <c r="D118" s="14" t="s">
        <v>4</v>
      </c>
      <c r="E118" s="10">
        <f>VLOOKUP(D118,Raw!$A$2:$B$23,2,FALSE)</f>
        <v>0</v>
      </c>
      <c r="F118">
        <f t="shared" si="11"/>
        <v>0</v>
      </c>
    </row>
    <row r="119" spans="1:6" x14ac:dyDescent="0.3">
      <c r="A119">
        <v>2</v>
      </c>
      <c r="B119" s="5" t="s">
        <v>17</v>
      </c>
      <c r="C119">
        <f>SUM(C120:C124)</f>
        <v>10</v>
      </c>
      <c r="F119">
        <f>SUM(F120:F124)</f>
        <v>0</v>
      </c>
    </row>
    <row r="120" spans="1:6" x14ac:dyDescent="0.3">
      <c r="B120" s="12" t="s">
        <v>29</v>
      </c>
      <c r="C120" s="13">
        <v>2</v>
      </c>
      <c r="D120" s="14" t="s">
        <v>4</v>
      </c>
      <c r="E120" s="10">
        <f>VLOOKUP(D120,Raw!$A$2:$B$23,2,FALSE)</f>
        <v>0</v>
      </c>
      <c r="F120">
        <f>C120*E120</f>
        <v>0</v>
      </c>
    </row>
    <row r="121" spans="1:6" x14ac:dyDescent="0.3">
      <c r="B121" s="12" t="s">
        <v>30</v>
      </c>
      <c r="C121" s="13">
        <v>2</v>
      </c>
      <c r="D121" s="14" t="s">
        <v>4</v>
      </c>
      <c r="E121" s="10">
        <f>VLOOKUP(D121,Raw!$A$2:$B$23,2,FALSE)</f>
        <v>0</v>
      </c>
      <c r="F121">
        <f t="shared" ref="F121:F124" si="12">C121*E121</f>
        <v>0</v>
      </c>
    </row>
    <row r="122" spans="1:6" x14ac:dyDescent="0.3">
      <c r="B122" s="12" t="s">
        <v>31</v>
      </c>
      <c r="C122" s="13">
        <v>2</v>
      </c>
      <c r="D122" s="14" t="s">
        <v>4</v>
      </c>
      <c r="E122" s="10">
        <f>VLOOKUP(D122,Raw!$A$2:$B$23,2,FALSE)</f>
        <v>0</v>
      </c>
      <c r="F122">
        <f t="shared" si="12"/>
        <v>0</v>
      </c>
    </row>
    <row r="123" spans="1:6" x14ac:dyDescent="0.3">
      <c r="B123" s="12" t="s">
        <v>46</v>
      </c>
      <c r="C123" s="13">
        <v>2</v>
      </c>
      <c r="D123" s="14" t="s">
        <v>4</v>
      </c>
      <c r="E123" s="10">
        <f>VLOOKUP(D123,Raw!$A$2:$B$23,2,FALSE)</f>
        <v>0</v>
      </c>
      <c r="F123">
        <f t="shared" si="12"/>
        <v>0</v>
      </c>
    </row>
    <row r="124" spans="1:6" x14ac:dyDescent="0.3">
      <c r="B124" s="12" t="s">
        <v>47</v>
      </c>
      <c r="C124" s="13">
        <v>2</v>
      </c>
      <c r="D124" s="14" t="s">
        <v>4</v>
      </c>
      <c r="E124" s="10">
        <f>VLOOKUP(D124,Raw!$A$2:$B$23,2,FALSE)</f>
        <v>0</v>
      </c>
      <c r="F124">
        <f t="shared" si="12"/>
        <v>0</v>
      </c>
    </row>
    <row r="125" spans="1:6" x14ac:dyDescent="0.3">
      <c r="A125">
        <v>3</v>
      </c>
      <c r="B125" s="3" t="s">
        <v>18</v>
      </c>
      <c r="C125">
        <f>SUM(C126:C127)</f>
        <v>6</v>
      </c>
      <c r="F125">
        <f>SUM(F126:F127)</f>
        <v>0</v>
      </c>
    </row>
    <row r="126" spans="1:6" x14ac:dyDescent="0.3">
      <c r="B126" s="12" t="s">
        <v>24</v>
      </c>
      <c r="C126" s="13">
        <v>3</v>
      </c>
      <c r="D126" s="14" t="s">
        <v>4</v>
      </c>
      <c r="E126" s="10">
        <f>VLOOKUP(D126,Raw!$A$2:$B$23,2,FALSE)</f>
        <v>0</v>
      </c>
      <c r="F126">
        <f>C126*E126</f>
        <v>0</v>
      </c>
    </row>
    <row r="127" spans="1:6" x14ac:dyDescent="0.3">
      <c r="B127" s="12" t="s">
        <v>25</v>
      </c>
      <c r="C127" s="13">
        <v>3</v>
      </c>
      <c r="D127" s="14" t="s">
        <v>4</v>
      </c>
      <c r="E127" s="10">
        <f>VLOOKUP(D127,Raw!$A$2:$B$23,2,FALSE)</f>
        <v>0</v>
      </c>
      <c r="F127">
        <f t="shared" ref="F127:F128" si="13">C127*E127</f>
        <v>0</v>
      </c>
    </row>
    <row r="128" spans="1:6" x14ac:dyDescent="0.3">
      <c r="A128">
        <v>4</v>
      </c>
      <c r="B128" s="12" t="s">
        <v>19</v>
      </c>
      <c r="C128" s="13">
        <v>2</v>
      </c>
      <c r="D128" s="14" t="s">
        <v>4</v>
      </c>
      <c r="E128" s="10">
        <f>VLOOKUP(D128,Raw!$A$2:$B$23,2,FALSE)</f>
        <v>0</v>
      </c>
      <c r="F128">
        <f t="shared" si="13"/>
        <v>0</v>
      </c>
    </row>
    <row r="129" spans="1:6" x14ac:dyDescent="0.3">
      <c r="B129" s="5"/>
    </row>
    <row r="130" spans="1:6" s="2" customFormat="1" x14ac:dyDescent="0.3">
      <c r="B130" s="7" t="s">
        <v>52</v>
      </c>
      <c r="C130" s="1">
        <f>SUM(C131,C134)</f>
        <v>5</v>
      </c>
      <c r="D130" s="1"/>
      <c r="E130" s="1"/>
      <c r="F130" s="1">
        <f>SUM(F131,F134)</f>
        <v>0</v>
      </c>
    </row>
    <row r="131" spans="1:6" x14ac:dyDescent="0.3">
      <c r="A131">
        <v>1</v>
      </c>
      <c r="B131" s="5" t="s">
        <v>16</v>
      </c>
      <c r="C131">
        <f>SUM(C132:C133)</f>
        <v>1.5</v>
      </c>
      <c r="F131">
        <f>SUM(F132:F133)</f>
        <v>0</v>
      </c>
    </row>
    <row r="132" spans="1:6" x14ac:dyDescent="0.3">
      <c r="B132" s="12" t="s">
        <v>81</v>
      </c>
      <c r="C132" s="13">
        <v>1</v>
      </c>
      <c r="D132" s="14" t="s">
        <v>4</v>
      </c>
      <c r="E132" s="10">
        <f>VLOOKUP(D132,Raw!$A$2:$B$23,2,FALSE)</f>
        <v>0</v>
      </c>
      <c r="F132">
        <f>C132*E132</f>
        <v>0</v>
      </c>
    </row>
    <row r="133" spans="1:6" x14ac:dyDescent="0.3">
      <c r="B133" s="12" t="s">
        <v>56</v>
      </c>
      <c r="C133" s="13">
        <v>0.5</v>
      </c>
      <c r="D133" s="14" t="s">
        <v>4</v>
      </c>
      <c r="E133" s="10">
        <f>VLOOKUP(D133,Raw!$A$2:$B$23,2,FALSE)</f>
        <v>0</v>
      </c>
      <c r="F133">
        <f>C133*E133</f>
        <v>0</v>
      </c>
    </row>
    <row r="134" spans="1:6" x14ac:dyDescent="0.3">
      <c r="A134">
        <v>2</v>
      </c>
      <c r="B134" s="5" t="s">
        <v>55</v>
      </c>
      <c r="C134">
        <f>SUM(C135:C138)</f>
        <v>3.5</v>
      </c>
      <c r="F134">
        <f>SUM(F135:F138)</f>
        <v>0</v>
      </c>
    </row>
    <row r="135" spans="1:6" x14ac:dyDescent="0.3">
      <c r="B135" s="12" t="s">
        <v>111</v>
      </c>
      <c r="C135" s="13">
        <v>1</v>
      </c>
      <c r="D135" s="14" t="s">
        <v>4</v>
      </c>
      <c r="E135" s="10">
        <f>VLOOKUP(D135,Raw!$A$2:$B$23,2,FALSE)</f>
        <v>0</v>
      </c>
      <c r="F135">
        <f>C135*E135</f>
        <v>0</v>
      </c>
    </row>
    <row r="136" spans="1:6" x14ac:dyDescent="0.3">
      <c r="B136" s="12" t="s">
        <v>53</v>
      </c>
      <c r="C136" s="13">
        <v>1</v>
      </c>
      <c r="D136" s="14" t="s">
        <v>4</v>
      </c>
      <c r="E136" s="10">
        <f>VLOOKUP(D136,Raw!$A$2:$B$23,2,FALSE)</f>
        <v>0</v>
      </c>
      <c r="F136">
        <f t="shared" ref="F136:F138" si="14">C136*E136</f>
        <v>0</v>
      </c>
    </row>
    <row r="137" spans="1:6" x14ac:dyDescent="0.3">
      <c r="B137" s="12" t="s">
        <v>112</v>
      </c>
      <c r="C137" s="13">
        <v>1</v>
      </c>
      <c r="D137" s="14" t="s">
        <v>4</v>
      </c>
      <c r="E137" s="10">
        <f>VLOOKUP(D137,Raw!$A$2:$B$23,2,FALSE)</f>
        <v>0</v>
      </c>
      <c r="F137">
        <f t="shared" si="14"/>
        <v>0</v>
      </c>
    </row>
    <row r="138" spans="1:6" x14ac:dyDescent="0.3">
      <c r="B138" s="12" t="s">
        <v>54</v>
      </c>
      <c r="C138" s="13">
        <v>0.5</v>
      </c>
      <c r="D138" s="14" t="s">
        <v>4</v>
      </c>
      <c r="E138" s="10">
        <f>VLOOKUP(D138,Raw!$A$2:$B$23,2,FALSE)</f>
        <v>0</v>
      </c>
      <c r="F138">
        <f t="shared" si="14"/>
        <v>0</v>
      </c>
    </row>
    <row r="139" spans="1:6" x14ac:dyDescent="0.3">
      <c r="B139" s="5"/>
    </row>
    <row r="140" spans="1:6" ht="28.8" x14ac:dyDescent="0.3">
      <c r="A140">
        <v>1</v>
      </c>
      <c r="B140" s="12" t="s">
        <v>15</v>
      </c>
      <c r="C140" s="13">
        <v>-10</v>
      </c>
      <c r="D140" s="14" t="s">
        <v>4</v>
      </c>
      <c r="E140" s="10">
        <f>VLOOKUP(D140,Raw!$A$2:$B$23,2,FALSE)</f>
        <v>0</v>
      </c>
      <c r="F140">
        <f>C140*E140</f>
        <v>0</v>
      </c>
    </row>
    <row r="142" spans="1:6" s="2" customFormat="1" x14ac:dyDescent="0.3">
      <c r="B142" s="7" t="s">
        <v>0</v>
      </c>
      <c r="C142" s="2">
        <f>IF(SUM(C6,C30,C40,C66,C93,C101)&gt;100, 100, SUM(C6,C30,C40,C66,C93,C101))</f>
        <v>92</v>
      </c>
      <c r="F142" s="2">
        <f>IF(SUM(F6,F30,F40,F66,F93,F101,F140,F130)&gt;92, 92, SUM(F6,F30,F40,F66,F93,F101,F140,F130))</f>
        <v>0</v>
      </c>
    </row>
    <row r="143" spans="1:6" s="2" customFormat="1" x14ac:dyDescent="0.3">
      <c r="B143" s="11" t="s">
        <v>11</v>
      </c>
      <c r="E143" s="15"/>
    </row>
    <row r="144" spans="1:6" s="2" customFormat="1" x14ac:dyDescent="0.3">
      <c r="B144" s="7" t="s">
        <v>12</v>
      </c>
      <c r="C144" s="2">
        <f>IF($E$143&lt;=0, C142, (1-($E$143)*0.1)*C142)</f>
        <v>92</v>
      </c>
      <c r="F144" s="2">
        <f>IF($E$143&lt;=0, F142, (1-($E$143)*0.1)*F142)</f>
        <v>0</v>
      </c>
    </row>
    <row r="145" spans="2:6" s="2" customFormat="1" x14ac:dyDescent="0.3">
      <c r="B145" s="11"/>
    </row>
    <row r="146" spans="2:6" s="2" customFormat="1" x14ac:dyDescent="0.3">
      <c r="B146" s="7" t="s">
        <v>133</v>
      </c>
      <c r="C146" s="8">
        <v>0.23</v>
      </c>
      <c r="D146" s="8"/>
      <c r="E146" s="8"/>
      <c r="F146" s="2">
        <f>F144*23/100</f>
        <v>0</v>
      </c>
    </row>
  </sheetData>
  <mergeCells count="1">
    <mergeCell ref="B1:G1"/>
  </mergeCells>
  <pageMargins left="0.25" right="0.25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4AD849A-6F0E-4D73-B3B5-27C8D69269BE}">
          <x14:formula1>
            <xm:f>Raw!$A$2:$A$23</xm:f>
          </x14:formula1>
          <xm:sqref>D132:D133 D120:D124 D140 D14:D17 D19:D28 D43:D46 D103:D118 D8:D12 D98:D100 D95:D96 D87:D92 D126:D128 D41 D36:D38 D32:D34 D48:D50 D52:D61 D63:D64 D68:D81 D83:D85 D135:D138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8AC24-E293-4F77-B2B2-BEAA043E24B6}">
  <dimension ref="A1:B23"/>
  <sheetViews>
    <sheetView workbookViewId="0">
      <selection sqref="A1:B23"/>
    </sheetView>
  </sheetViews>
  <sheetFormatPr defaultRowHeight="14.4" x14ac:dyDescent="0.3"/>
  <sheetData>
    <row r="1" spans="1:2" x14ac:dyDescent="0.3">
      <c r="A1" t="s">
        <v>2</v>
      </c>
      <c r="B1" t="s">
        <v>3</v>
      </c>
    </row>
    <row r="2" spans="1:2" x14ac:dyDescent="0.3">
      <c r="A2" s="6" t="s">
        <v>4</v>
      </c>
      <c r="B2" s="9">
        <v>0</v>
      </c>
    </row>
    <row r="3" spans="1:2" x14ac:dyDescent="0.3">
      <c r="A3" t="s">
        <v>5</v>
      </c>
      <c r="B3" s="9">
        <v>1</v>
      </c>
    </row>
    <row r="4" spans="1:2" x14ac:dyDescent="0.3">
      <c r="A4" t="s">
        <v>6</v>
      </c>
      <c r="B4" s="9">
        <v>0.5</v>
      </c>
    </row>
    <row r="5" spans="1:2" x14ac:dyDescent="0.3">
      <c r="A5" t="s">
        <v>7</v>
      </c>
      <c r="B5" s="9">
        <v>0</v>
      </c>
    </row>
    <row r="6" spans="1:2" x14ac:dyDescent="0.3">
      <c r="A6">
        <v>0.95</v>
      </c>
      <c r="B6" s="9">
        <f>A6</f>
        <v>0.95</v>
      </c>
    </row>
    <row r="7" spans="1:2" x14ac:dyDescent="0.3">
      <c r="A7">
        <v>0.9</v>
      </c>
      <c r="B7" s="9">
        <f t="shared" ref="B7:B23" si="0">A7</f>
        <v>0.9</v>
      </c>
    </row>
    <row r="8" spans="1:2" x14ac:dyDescent="0.3">
      <c r="A8">
        <v>0.85</v>
      </c>
      <c r="B8" s="9">
        <f t="shared" si="0"/>
        <v>0.85</v>
      </c>
    </row>
    <row r="9" spans="1:2" x14ac:dyDescent="0.3">
      <c r="A9">
        <v>0.8</v>
      </c>
      <c r="B9" s="9">
        <f t="shared" si="0"/>
        <v>0.8</v>
      </c>
    </row>
    <row r="10" spans="1:2" x14ac:dyDescent="0.3">
      <c r="A10">
        <v>0.75</v>
      </c>
      <c r="B10" s="9">
        <f t="shared" si="0"/>
        <v>0.75</v>
      </c>
    </row>
    <row r="11" spans="1:2" x14ac:dyDescent="0.3">
      <c r="A11">
        <v>0.7</v>
      </c>
      <c r="B11" s="9">
        <f t="shared" si="0"/>
        <v>0.7</v>
      </c>
    </row>
    <row r="12" spans="1:2" x14ac:dyDescent="0.3">
      <c r="A12">
        <v>0.65</v>
      </c>
      <c r="B12" s="9">
        <f t="shared" si="0"/>
        <v>0.65</v>
      </c>
    </row>
    <row r="13" spans="1:2" x14ac:dyDescent="0.3">
      <c r="A13">
        <v>0.6</v>
      </c>
      <c r="B13" s="9">
        <f t="shared" si="0"/>
        <v>0.6</v>
      </c>
    </row>
    <row r="14" spans="1:2" x14ac:dyDescent="0.3">
      <c r="A14">
        <v>0.55000000000000104</v>
      </c>
      <c r="B14" s="9">
        <f t="shared" si="0"/>
        <v>0.55000000000000104</v>
      </c>
    </row>
    <row r="15" spans="1:2" x14ac:dyDescent="0.3">
      <c r="A15">
        <v>0.45000000000000101</v>
      </c>
      <c r="B15" s="9">
        <f t="shared" si="0"/>
        <v>0.45000000000000101</v>
      </c>
    </row>
    <row r="16" spans="1:2" x14ac:dyDescent="0.3">
      <c r="A16">
        <v>0.40000000000000102</v>
      </c>
      <c r="B16" s="9">
        <f t="shared" si="0"/>
        <v>0.40000000000000102</v>
      </c>
    </row>
    <row r="17" spans="1:2" x14ac:dyDescent="0.3">
      <c r="A17">
        <v>0.35000000000000098</v>
      </c>
      <c r="B17" s="9">
        <f t="shared" si="0"/>
        <v>0.35000000000000098</v>
      </c>
    </row>
    <row r="18" spans="1:2" x14ac:dyDescent="0.3">
      <c r="A18">
        <v>0.30000000000000099</v>
      </c>
      <c r="B18" s="9">
        <f t="shared" si="0"/>
        <v>0.30000000000000099</v>
      </c>
    </row>
    <row r="19" spans="1:2" x14ac:dyDescent="0.3">
      <c r="A19">
        <v>0.25</v>
      </c>
      <c r="B19" s="9">
        <f t="shared" si="0"/>
        <v>0.25</v>
      </c>
    </row>
    <row r="20" spans="1:2" x14ac:dyDescent="0.3">
      <c r="A20">
        <v>0.20000000000000101</v>
      </c>
      <c r="B20" s="9">
        <f t="shared" si="0"/>
        <v>0.20000000000000101</v>
      </c>
    </row>
    <row r="21" spans="1:2" x14ac:dyDescent="0.3">
      <c r="A21">
        <v>0.15000000000000099</v>
      </c>
      <c r="B21" s="9">
        <f t="shared" si="0"/>
        <v>0.15000000000000099</v>
      </c>
    </row>
    <row r="22" spans="1:2" x14ac:dyDescent="0.3">
      <c r="A22">
        <v>0.100000000000001</v>
      </c>
      <c r="B22" s="9">
        <f t="shared" si="0"/>
        <v>0.100000000000001</v>
      </c>
    </row>
    <row r="23" spans="1:2" x14ac:dyDescent="0.3">
      <c r="A23">
        <v>5.0000000000000898E-2</v>
      </c>
      <c r="B23" s="9">
        <f t="shared" si="0"/>
        <v>5.0000000000000898E-2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</vt:lpstr>
      <vt:lpstr>Raw</vt:lpstr>
    </vt:vector>
  </TitlesOfParts>
  <Company>The University of Newcastle,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testuser1</dc:creator>
  <cp:lastModifiedBy>Adrian Tan</cp:lastModifiedBy>
  <dcterms:created xsi:type="dcterms:W3CDTF">2019-03-06T00:38:47Z</dcterms:created>
  <dcterms:modified xsi:type="dcterms:W3CDTF">2025-09-14T07:52:30Z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cb323ff5-bfba-4daf-a33b-c1ec207705ea</vt:lpwstr>
  </property>
</Properties>
</file>