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RIAN\Desktop\Syncthing\Shared-Folders\Sync-All-PCs\Work\SENG1050-2025-S2\Assessments\Assessment-02\Manuals\"/>
    </mc:Choice>
  </mc:AlternateContent>
  <xr:revisionPtr revIDLastSave="0" documentId="13_ncr:1_{C8FEECC1-B4F4-46FB-B758-2C76C21DA94F}" xr6:coauthVersionLast="47" xr6:coauthVersionMax="47" xr10:uidLastSave="{00000000-0000-0000-0000-000000000000}"/>
  <bookViews>
    <workbookView xWindow="30660" yWindow="12600" windowWidth="15552" windowHeight="12696" xr2:uid="{00000000-000D-0000-FFFF-FFFF00000000}"/>
  </bookViews>
  <sheets>
    <sheet name="Grade" sheetId="1" r:id="rId1"/>
    <sheet name="Ra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68" i="1" l="1"/>
  <c r="C93" i="1"/>
  <c r="C51" i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C62" i="1"/>
  <c r="E64" i="1"/>
  <c r="F64" i="1" s="1"/>
  <c r="E65" i="1"/>
  <c r="F65" i="1" s="1"/>
  <c r="C81" i="1"/>
  <c r="C67" i="1"/>
  <c r="C38" i="1"/>
  <c r="C30" i="1"/>
  <c r="C17" i="1"/>
  <c r="C12" i="1"/>
  <c r="E63" i="1"/>
  <c r="F63" i="1" s="1"/>
  <c r="E52" i="1"/>
  <c r="F52" i="1" s="1"/>
  <c r="E72" i="1"/>
  <c r="F72" i="1" s="1"/>
  <c r="E70" i="1"/>
  <c r="F70" i="1" s="1"/>
  <c r="E71" i="1"/>
  <c r="F71" i="1" s="1"/>
  <c r="E74" i="1"/>
  <c r="F74" i="1" s="1"/>
  <c r="E75" i="1"/>
  <c r="F75" i="1" s="1"/>
  <c r="E76" i="1"/>
  <c r="F76" i="1" s="1"/>
  <c r="E73" i="1"/>
  <c r="F73" i="1" s="1"/>
  <c r="E69" i="1"/>
  <c r="F69" i="1" s="1"/>
  <c r="E78" i="1"/>
  <c r="F78" i="1" s="1"/>
  <c r="E77" i="1"/>
  <c r="F77" i="1" s="1"/>
  <c r="E39" i="1"/>
  <c r="F39" i="1" s="1"/>
  <c r="E31" i="1"/>
  <c r="F31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0" i="1"/>
  <c r="F40" i="1" s="1"/>
  <c r="E33" i="1"/>
  <c r="F33" i="1" s="1"/>
  <c r="E34" i="1"/>
  <c r="F34" i="1" s="1"/>
  <c r="E35" i="1"/>
  <c r="F35" i="1" s="1"/>
  <c r="E36" i="1"/>
  <c r="F36" i="1" s="1"/>
  <c r="E37" i="1"/>
  <c r="F37" i="1" s="1"/>
  <c r="E32" i="1"/>
  <c r="F32" i="1" s="1"/>
  <c r="E27" i="1"/>
  <c r="F27" i="1" s="1"/>
  <c r="E28" i="1"/>
  <c r="F28" i="1" s="1"/>
  <c r="E29" i="1"/>
  <c r="F29" i="1" s="1"/>
  <c r="E26" i="1"/>
  <c r="F26" i="1" s="1"/>
  <c r="E25" i="1"/>
  <c r="F25" i="1" s="1"/>
  <c r="E22" i="1"/>
  <c r="F22" i="1" s="1"/>
  <c r="E23" i="1"/>
  <c r="F23" i="1" s="1"/>
  <c r="E24" i="1"/>
  <c r="F24" i="1" s="1"/>
  <c r="E18" i="1"/>
  <c r="F18" i="1" s="1"/>
  <c r="E21" i="1"/>
  <c r="F21" i="1" s="1"/>
  <c r="E20" i="1"/>
  <c r="F20" i="1" s="1"/>
  <c r="E19" i="1"/>
  <c r="F19" i="1" s="1"/>
  <c r="E16" i="1"/>
  <c r="F16" i="1" s="1"/>
  <c r="E15" i="1"/>
  <c r="F15" i="1" s="1"/>
  <c r="E14" i="1"/>
  <c r="F14" i="1" s="1"/>
  <c r="E13" i="1"/>
  <c r="F13" i="1" s="1"/>
  <c r="C7" i="1"/>
  <c r="C6" i="1" s="1"/>
  <c r="F62" i="1" l="1"/>
  <c r="F51" i="1"/>
  <c r="F50" i="1" s="1"/>
  <c r="C50" i="1"/>
  <c r="F30" i="1"/>
  <c r="C11" i="1"/>
  <c r="C100" i="1" s="1"/>
  <c r="F68" i="1"/>
  <c r="F67" i="1" s="1"/>
  <c r="F12" i="1"/>
  <c r="F38" i="1"/>
  <c r="F17" i="1"/>
  <c r="C89" i="1"/>
  <c r="E95" i="1"/>
  <c r="F95" i="1" s="1"/>
  <c r="E94" i="1"/>
  <c r="F94" i="1" s="1"/>
  <c r="E96" i="1"/>
  <c r="F96" i="1" s="1"/>
  <c r="E91" i="1"/>
  <c r="F91" i="1" s="1"/>
  <c r="E92" i="1"/>
  <c r="F92" i="1" s="1"/>
  <c r="E90" i="1"/>
  <c r="F90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9" i="1"/>
  <c r="F9" i="1" s="1"/>
  <c r="E8" i="1"/>
  <c r="F8" i="1" s="1"/>
  <c r="E82" i="1"/>
  <c r="F82" i="1" s="1"/>
  <c r="E98" i="1"/>
  <c r="F98" i="1" s="1"/>
  <c r="F11" i="1" l="1"/>
  <c r="C80" i="1"/>
  <c r="F93" i="1"/>
  <c r="F89" i="1"/>
  <c r="F81" i="1"/>
  <c r="F80" i="1" s="1"/>
  <c r="F7" i="1"/>
  <c r="F6" i="1" s="1"/>
  <c r="F100" i="1" l="1"/>
  <c r="C3" i="1" l="1" a="1"/>
  <c r="C3" i="1" s="1"/>
  <c r="B19" i="2"/>
  <c r="B10" i="2"/>
  <c r="B23" i="2"/>
  <c r="B22" i="2"/>
  <c r="B21" i="2"/>
  <c r="B20" i="2"/>
  <c r="B18" i="2"/>
  <c r="B17" i="2"/>
  <c r="B16" i="2"/>
  <c r="B15" i="2"/>
  <c r="B14" i="2"/>
  <c r="B13" i="2"/>
  <c r="B12" i="2"/>
  <c r="B11" i="2"/>
  <c r="B9" i="2"/>
  <c r="B8" i="2"/>
  <c r="B7" i="2"/>
  <c r="B6" i="2"/>
  <c r="C102" i="1" l="1"/>
  <c r="F102" i="1"/>
  <c r="F10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<sst xmlns="http://schemas.openxmlformats.org/spreadsheetml/2006/main" count="176" uniqueCount="98">
  <si>
    <t>Total marks (%)</t>
  </si>
  <si>
    <t>Course Weighting (/15)</t>
  </si>
  <si>
    <t>SENG1050 Web-Based Assignment 1 Rubrics</t>
  </si>
  <si>
    <t>Status</t>
  </si>
  <si>
    <t>Multiplier</t>
  </si>
  <si>
    <t/>
  </si>
  <si>
    <t>Fulfilled</t>
  </si>
  <si>
    <t>Partially Fulfilled</t>
  </si>
  <si>
    <t>Not Fulfilled</t>
  </si>
  <si>
    <t>Comments</t>
  </si>
  <si>
    <t>Student Mark</t>
  </si>
  <si>
    <t>Name and ID</t>
  </si>
  <si>
    <t>Late Submissions in days</t>
  </si>
  <si>
    <t>Final Total marks (%)</t>
  </si>
  <si>
    <t>General Requirements</t>
  </si>
  <si>
    <t>HTML Documents</t>
  </si>
  <si>
    <t>XML Documents</t>
  </si>
  <si>
    <t>CSS</t>
  </si>
  <si>
    <t>Coding Style</t>
  </si>
  <si>
    <t>Penalised for excessively poor aesthetic appearence, untidiness, spelling and grammar problems, and not correctly following instructions.</t>
  </si>
  <si>
    <t>Validated files.</t>
  </si>
  <si>
    <t>Neat, clear, and indented codes.</t>
  </si>
  <si>
    <t>Comments.</t>
  </si>
  <si>
    <t>README.txt containing references.</t>
  </si>
  <si>
    <t>index.html (https://validator.w3.org/).</t>
  </si>
  <si>
    <t>about.html (https://validator.w3.org/).</t>
  </si>
  <si>
    <t>contact.html (https://validator.w3.org/).</t>
  </si>
  <si>
    <t>xmltemplate.xml (https://www.xmlvalidation.com/).</t>
  </si>
  <si>
    <t>xmldata1.xml (https://www.xmlvalidation.com/).</t>
  </si>
  <si>
    <t>xmldata2.xml (https://www.xmlvalidation.com/).</t>
  </si>
  <si>
    <t>File metadata (file name, author, and date created).</t>
  </si>
  <si>
    <t>Marking criteria addressed.</t>
  </si>
  <si>
    <t>Proper directory setup.</t>
  </si>
  <si>
    <t>fevergamez as root directory.</t>
  </si>
  <si>
    <t>fevergamez/image as image directory.</t>
  </si>
  <si>
    <t>All web pages.</t>
  </si>
  <si>
    <t>Homepage.</t>
  </si>
  <si>
    <t>About Us page.</t>
  </si>
  <si>
    <t>Contact page.</t>
  </si>
  <si>
    <t>Appropriate level 2 heading.</t>
  </si>
  <si>
    <t>HTML.</t>
  </si>
  <si>
    <t>XML.</t>
  </si>
  <si>
    <t>CSS.</t>
  </si>
  <si>
    <t>Full HTML document structure (include &lt;!DOCTYPE&gt;, &lt;html&gt;, &lt;head&gt;, &lt;meta&gt;, &lt;title&gt;, and &lt;body&gt;).</t>
  </si>
  <si>
    <t>Copyright statement in proper HTML structuring element for the homepage (&lt;address&gt;).</t>
  </si>
  <si>
    <t>Navigation bar: Uses hyperlinks to link all pages to one another.</t>
  </si>
  <si>
    <t>Navigation bar: Hyperlinks implemented using relative URLs.</t>
  </si>
  <si>
    <t>Welcome note: Proper and meaningful level 1 heading.</t>
  </si>
  <si>
    <t>Welcome note: One to two meaningful paragraphs of welcome note.</t>
  </si>
  <si>
    <t>Welcome note: One meaningful blockquote.</t>
  </si>
  <si>
    <t>Feature product section: Proper and meaningful level 1 and 2 headings.</t>
  </si>
  <si>
    <t>Correct file name.</t>
  </si>
  <si>
    <t>Feature product section: An unordered list or an ordered list of THREE feature products (regardless of genre).</t>
  </si>
  <si>
    <t>Feature product section: One short description paragraph for each product.</t>
  </si>
  <si>
    <t>Feature product section: One image for each product.</t>
  </si>
  <si>
    <t>One hyperlink to an external website using an absolute URL.</t>
  </si>
  <si>
    <t>Correct utilization of EM tag.</t>
  </si>
  <si>
    <t>Correct utilization of STRONG tag.</t>
  </si>
  <si>
    <t>Correct utilization of ABBR tag.</t>
  </si>
  <si>
    <t>Name of the person sending a message.</t>
  </si>
  <si>
    <t>History section: Proper and meaningful level 1 heading.</t>
  </si>
  <si>
    <t>History section: One to two meaningful paragraphs of history.</t>
  </si>
  <si>
    <t>Privacy policy section: Proper and meaningful level 1 and 2 headings.</t>
  </si>
  <si>
    <t>Privacy policy section: Paragraphs of discussion on privacy policy.</t>
  </si>
  <si>
    <t>Terms and conditions section: Paragraphs of discussion on terms and conditions .</t>
  </si>
  <si>
    <t>Terms and conditions section: Proper and meaningful level 1 and 2 headings.</t>
  </si>
  <si>
    <t>An email address for replies.</t>
  </si>
  <si>
    <t>The subject of the message.</t>
  </si>
  <si>
    <t>The message itself.</t>
  </si>
  <si>
    <t>Message urgency using radio buttons.</t>
  </si>
  <si>
    <t>Submit and clear button.</t>
  </si>
  <si>
    <t>All inputs must be filled before submission.</t>
  </si>
  <si>
    <t>Contact form submits to http://jkorpela.fi/cgi-bin/echo.cgi correctly using POST.</t>
  </si>
  <si>
    <t>External style file.</t>
  </si>
  <si>
    <t>Document-level style sheet in Homepage.</t>
  </si>
  <si>
    <t>Inline style in Homepage.</t>
  </si>
  <si>
    <t>Usage of id selector.</t>
  </si>
  <si>
    <t>Usage of class selector.</t>
  </si>
  <si>
    <t>Left and right side margin of at least 1 cm for the main content (body) of all webpages.</t>
  </si>
  <si>
    <t>Usage of &lt;div&gt; element and styling with CSS.</t>
  </si>
  <si>
    <t>Usage of &lt;span&gt; element and styling with CSS.</t>
  </si>
  <si>
    <t>Nice background (that does not inhibit reading the text).</t>
  </si>
  <si>
    <t>Hyperlink size and color change (pseudo class selectors a:link, a:visited …).</t>
  </si>
  <si>
    <t>XML data files.</t>
  </si>
  <si>
    <t>XML template with DTD.</t>
  </si>
  <si>
    <t>Correct file names.</t>
  </si>
  <si>
    <t>Each XML data file containes THREE games.</t>
  </si>
  <si>
    <t>XML data files MUST have the same tags and DTD as the XML template.</t>
  </si>
  <si>
    <t xml:space="preserve">DTD: Name element tag with correct modifier. </t>
  </si>
  <si>
    <t xml:space="preserve">DTD: Description element tag with correct modifier. </t>
  </si>
  <si>
    <t xml:space="preserve">DTD: Pricing element tag with correct modifier. </t>
  </si>
  <si>
    <t xml:space="preserve">DTD: Search element tag with correct modifier. </t>
  </si>
  <si>
    <t xml:space="preserve">DTD: Reviews element tag with correct modifier and attribute. </t>
  </si>
  <si>
    <t xml:space="preserve">DTD: Picture element tag with correct modifier. </t>
  </si>
  <si>
    <t xml:space="preserve">DTD: URL element tag with correct modifier. </t>
  </si>
  <si>
    <t>DTD: Include two entities.</t>
  </si>
  <si>
    <t>Arbitraty data in template file.</t>
  </si>
  <si>
    <t>style.css (http://jigsaw.w3.org/css-validator/).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</si>
</sst>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vertical="center" wrapText="1"/>
    </xf>
    <xf numFmtId="0" fontId="0" fillId="0" borderId="0" xfId="0" quotePrefix="1"/>
    <xf numFmtId="0" fontId="1" fillId="0" borderId="0" xfId="0" applyFont="1" applyAlignment="1">
      <alignment wrapText="1"/>
    </xf>
    <xf numFmtId="9" fontId="1" fillId="0" borderId="0" xfId="0" applyNumberFormat="1" applyFont="1"/>
    <xf numFmtId="0" fontId="2" fillId="0" borderId="0" xfId="0" applyFont="1" applyAlignment="1">
      <alignment horizontal="center"/>
    </xf>
    <xf numFmtId="2" fontId="0" fillId="0" borderId="0" xfId="0" applyNumberFormat="1"/>
    <xf numFmtId="0" fontId="0" fillId="0" borderId="2" xfId="0" applyBorder="1"/>
    <xf numFmtId="0" fontId="3" fillId="0" borderId="0" xfId="0" applyFont="1" applyAlignment="1">
      <alignment wrapText="1"/>
    </xf>
    <xf numFmtId="0" fontId="1" fillId="0" borderId="0" xfId="0" applyFont="1" applyBorder="1"/>
    <xf numFmtId="0" fontId="3" fillId="0" borderId="0" xfId="0" applyFont="1" applyAlignment="1">
      <alignment vertical="center" wrapText="1"/>
    </xf>
    <xf numFmtId="0" fontId="3" fillId="0" borderId="0" xfId="0" applyFont="1"/>
    <xf numFmtId="0" fontId="3" fillId="0" borderId="1" xfId="0" applyFont="1" applyBorder="1"/>
    <xf numFmtId="0" fontId="0" fillId="0" borderId="0" xfId="0" applyFont="1"/>
    <xf numFmtId="0" fontId="0" fillId="0" borderId="0" xfId="0" applyFont="1" applyAlignment="1">
      <alignment wrapText="1"/>
    </xf>
    <xf numFmtId="0" fontId="4" fillId="0" borderId="1" xfId="0" applyFont="1" applyBorder="1"/>
    <xf numFmtId="0" fontId="0" fillId="0" borderId="2" xfId="0" applyFont="1" applyBorder="1"/>
    <xf numFmtId="0" fontId="0" fillId="0" borderId="0" xfId="0" applyFont="1" applyAlignment="1">
      <alignment vertical="center" wrapText="1"/>
    </xf>
    <xf numFmtId="0" fontId="3" fillId="0" borderId="0" xfId="0" applyFont="1" applyFill="1" applyBorder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D48A4F56-2A75-4500-A751-1B045F7C4F9A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4"/>
  <sheetViews>
    <sheetView tabSelected="1" topLeftCell="A83" zoomScaleNormal="100" workbookViewId="0">
      <selection activeCell="B98" sqref="B98"/>
    </sheetView>
  </sheetViews>
  <sheetFormatPr defaultRowHeight="14.4" x14ac:dyDescent="0.3"/>
  <cols>
    <col min="1" max="1" width="3" customWidth="1"/>
    <col min="2" max="2" width="87.5546875" style="3" customWidth="1"/>
    <col min="3" max="5" width="8.5546875" customWidth="1"/>
    <col min="6" max="6" width="11.77734375" bestFit="1" customWidth="1"/>
    <col min="7" max="7" width="74.33203125" bestFit="1" customWidth="1"/>
  </cols>
  <sheetData>
    <row r="1" spans="1:7" ht="18" x14ac:dyDescent="0.35">
      <c r="B1" s="9" t="s">
        <v>2</v>
      </c>
      <c r="C1" s="9"/>
      <c r="D1" s="9"/>
      <c r="E1" s="9"/>
      <c r="F1" s="9"/>
      <c r="G1" s="9"/>
    </row>
    <row r="3" spans="1:7" x14ac:dyDescent="0.3">
      <c r="B3" s="4" t="s">
        <v>11</v>
      </c>
      <c r="C3" t="str" cm="1">
        <f t="array" aca="1" ref="C3" ca="1">_xlfn.TEXTAFTER(_xlfn.TEXTBEFORE(CELL("filename"),".xlsx"),"[")</f>
        <v>SENG1050-Assessment-02-Rubrics-2025-S2</v>
      </c>
      <c r="G3" s="1"/>
    </row>
    <row r="4" spans="1:7" x14ac:dyDescent="0.3">
      <c r="B4" s="4"/>
      <c r="G4" s="2"/>
    </row>
    <row r="5" spans="1:7" x14ac:dyDescent="0.3">
      <c r="D5" t="s">
        <v>3</v>
      </c>
      <c r="E5" t="s">
        <v>4</v>
      </c>
      <c r="F5" t="s">
        <v>10</v>
      </c>
      <c r="G5" t="s">
        <v>9</v>
      </c>
    </row>
    <row r="6" spans="1:7" s="2" customFormat="1" x14ac:dyDescent="0.3">
      <c r="B6" s="7" t="s">
        <v>14</v>
      </c>
      <c r="C6" s="2">
        <f>SUM(C7)</f>
        <v>2</v>
      </c>
      <c r="F6" s="2">
        <f>SUM(F7)</f>
        <v>0</v>
      </c>
    </row>
    <row r="7" spans="1:7" s="2" customFormat="1" x14ac:dyDescent="0.3">
      <c r="A7" s="17">
        <v>1</v>
      </c>
      <c r="B7" s="18" t="s">
        <v>32</v>
      </c>
      <c r="C7" s="17">
        <f>SUM(C8:C9)</f>
        <v>2</v>
      </c>
      <c r="D7" s="17"/>
      <c r="E7" s="17"/>
      <c r="F7" s="17">
        <f>SUM(F8:F9)</f>
        <v>0</v>
      </c>
    </row>
    <row r="8" spans="1:7" s="2" customFormat="1" x14ac:dyDescent="0.3">
      <c r="A8" s="17"/>
      <c r="B8" s="12" t="s">
        <v>33</v>
      </c>
      <c r="C8" s="15">
        <v>1</v>
      </c>
      <c r="D8" s="16" t="s">
        <v>5</v>
      </c>
      <c r="E8" s="20">
        <f>VLOOKUP(D8,Raw!$A$2:$B$23,2,FALSE)</f>
        <v>0</v>
      </c>
      <c r="F8" s="17">
        <f>C8*E8</f>
        <v>0</v>
      </c>
    </row>
    <row r="9" spans="1:7" s="2" customFormat="1" x14ac:dyDescent="0.3">
      <c r="A9" s="17"/>
      <c r="B9" s="12" t="s">
        <v>34</v>
      </c>
      <c r="C9" s="15">
        <v>1</v>
      </c>
      <c r="D9" s="16" t="s">
        <v>5</v>
      </c>
      <c r="E9" s="20">
        <f>VLOOKUP(D9,Raw!$A$2:$B$23,2,FALSE)</f>
        <v>0</v>
      </c>
      <c r="F9" s="17">
        <f>C9*E9</f>
        <v>0</v>
      </c>
    </row>
    <row r="10" spans="1:7" s="2" customFormat="1" x14ac:dyDescent="0.3">
      <c r="B10" s="7"/>
    </row>
    <row r="11" spans="1:7" s="2" customFormat="1" x14ac:dyDescent="0.3">
      <c r="B11" s="7" t="s">
        <v>15</v>
      </c>
      <c r="C11" s="2">
        <f>SUM(C12,C17,C30,C38)</f>
        <v>47</v>
      </c>
      <c r="F11" s="2">
        <f>SUM(F12,F17,F30,F38)</f>
        <v>0</v>
      </c>
    </row>
    <row r="12" spans="1:7" s="17" customFormat="1" x14ac:dyDescent="0.3">
      <c r="A12" s="17">
        <v>1</v>
      </c>
      <c r="B12" s="18" t="s">
        <v>35</v>
      </c>
      <c r="C12" s="17">
        <f>SUM(C13:C16)</f>
        <v>8</v>
      </c>
      <c r="F12" s="17">
        <f>SUM(F13:F16)</f>
        <v>0</v>
      </c>
    </row>
    <row r="13" spans="1:7" s="17" customFormat="1" x14ac:dyDescent="0.3">
      <c r="B13" s="14" t="s">
        <v>43</v>
      </c>
      <c r="C13" s="15">
        <v>3</v>
      </c>
      <c r="D13" s="16" t="s">
        <v>5</v>
      </c>
      <c r="E13" s="20">
        <f>VLOOKUP(D13,Raw!$A$2:$B$23,2,FALSE)</f>
        <v>0</v>
      </c>
      <c r="F13" s="17">
        <f>C13*E13</f>
        <v>0</v>
      </c>
    </row>
    <row r="14" spans="1:7" s="17" customFormat="1" x14ac:dyDescent="0.3">
      <c r="B14" s="14" t="s">
        <v>45</v>
      </c>
      <c r="C14" s="15">
        <v>2</v>
      </c>
      <c r="D14" s="16" t="s">
        <v>5</v>
      </c>
      <c r="E14" s="20">
        <f>VLOOKUP(D14,Raw!$A$2:$B$23,2,FALSE)</f>
        <v>0</v>
      </c>
      <c r="F14" s="17">
        <f>C14*E14</f>
        <v>0</v>
      </c>
    </row>
    <row r="15" spans="1:7" s="17" customFormat="1" x14ac:dyDescent="0.3">
      <c r="B15" s="14" t="s">
        <v>46</v>
      </c>
      <c r="C15" s="15">
        <v>1.5</v>
      </c>
      <c r="D15" s="16" t="s">
        <v>5</v>
      </c>
      <c r="E15" s="20">
        <f>VLOOKUP(D15,Raw!$A$2:$B$23,2,FALSE)</f>
        <v>0</v>
      </c>
      <c r="F15" s="17">
        <f>C15*E15</f>
        <v>0</v>
      </c>
    </row>
    <row r="16" spans="1:7" s="17" customFormat="1" x14ac:dyDescent="0.3">
      <c r="B16" s="14" t="s">
        <v>44</v>
      </c>
      <c r="C16" s="15">
        <v>1.5</v>
      </c>
      <c r="D16" s="16" t="s">
        <v>5</v>
      </c>
      <c r="E16" s="20">
        <f>VLOOKUP(D16,Raw!$A$2:$B$23,2,FALSE)</f>
        <v>0</v>
      </c>
      <c r="F16" s="17">
        <f>C16*E16</f>
        <v>0</v>
      </c>
    </row>
    <row r="17" spans="1:6" s="17" customFormat="1" x14ac:dyDescent="0.3">
      <c r="A17" s="17">
        <v>2</v>
      </c>
      <c r="B17" s="18" t="s">
        <v>36</v>
      </c>
      <c r="C17" s="17">
        <f>SUM(C18:C29)</f>
        <v>18.5</v>
      </c>
      <c r="F17" s="17">
        <f>SUM(F18:F29)</f>
        <v>0</v>
      </c>
    </row>
    <row r="18" spans="1:6" s="17" customFormat="1" x14ac:dyDescent="0.3">
      <c r="B18" s="12" t="s">
        <v>51</v>
      </c>
      <c r="C18" s="22">
        <v>0.5</v>
      </c>
      <c r="D18" s="16" t="s">
        <v>5</v>
      </c>
      <c r="E18" s="20">
        <f>VLOOKUP(D18,Raw!$A$2:$B$23,2,FALSE)</f>
        <v>0</v>
      </c>
      <c r="F18" s="17">
        <f>C18*E18</f>
        <v>0</v>
      </c>
    </row>
    <row r="19" spans="1:6" s="17" customFormat="1" x14ac:dyDescent="0.3">
      <c r="B19" s="12" t="s">
        <v>47</v>
      </c>
      <c r="C19" s="22">
        <v>1</v>
      </c>
      <c r="D19" s="16" t="s">
        <v>5</v>
      </c>
      <c r="E19" s="20">
        <f>VLOOKUP(D19,Raw!$A$2:$B$23,2,FALSE)</f>
        <v>0</v>
      </c>
      <c r="F19" s="17">
        <f>C19*E19</f>
        <v>0</v>
      </c>
    </row>
    <row r="20" spans="1:6" s="17" customFormat="1" x14ac:dyDescent="0.3">
      <c r="B20" s="12" t="s">
        <v>48</v>
      </c>
      <c r="C20" s="22">
        <v>1</v>
      </c>
      <c r="D20" s="16" t="s">
        <v>5</v>
      </c>
      <c r="E20" s="20">
        <f>VLOOKUP(D20,Raw!$A$2:$B$23,2,FALSE)</f>
        <v>0</v>
      </c>
      <c r="F20" s="17">
        <f>C20*E20</f>
        <v>0</v>
      </c>
    </row>
    <row r="21" spans="1:6" s="17" customFormat="1" x14ac:dyDescent="0.3">
      <c r="B21" s="12" t="s">
        <v>49</v>
      </c>
      <c r="C21" s="22">
        <v>1</v>
      </c>
      <c r="D21" s="16" t="s">
        <v>5</v>
      </c>
      <c r="E21" s="20">
        <f>VLOOKUP(D21,Raw!$A$2:$B$23,2,FALSE)</f>
        <v>0</v>
      </c>
      <c r="F21" s="17">
        <f>C21*E21</f>
        <v>0</v>
      </c>
    </row>
    <row r="22" spans="1:6" s="17" customFormat="1" x14ac:dyDescent="0.3">
      <c r="B22" s="12" t="s">
        <v>50</v>
      </c>
      <c r="C22" s="22">
        <v>2</v>
      </c>
      <c r="D22" s="16" t="s">
        <v>5</v>
      </c>
      <c r="E22" s="20">
        <f>VLOOKUP(D22,Raw!$A$2:$B$23,2,FALSE)</f>
        <v>0</v>
      </c>
      <c r="F22" s="17">
        <f t="shared" ref="F22:F24" si="0">C22*E22</f>
        <v>0</v>
      </c>
    </row>
    <row r="23" spans="1:6" s="17" customFormat="1" ht="28.8" x14ac:dyDescent="0.3">
      <c r="B23" s="12" t="s">
        <v>52</v>
      </c>
      <c r="C23" s="22">
        <v>3</v>
      </c>
      <c r="D23" s="16" t="s">
        <v>5</v>
      </c>
      <c r="E23" s="20">
        <f>VLOOKUP(D23,Raw!$A$2:$B$23,2,FALSE)</f>
        <v>0</v>
      </c>
      <c r="F23" s="17">
        <f t="shared" si="0"/>
        <v>0</v>
      </c>
    </row>
    <row r="24" spans="1:6" s="17" customFormat="1" x14ac:dyDescent="0.3">
      <c r="B24" s="12" t="s">
        <v>53</v>
      </c>
      <c r="C24" s="22">
        <v>3</v>
      </c>
      <c r="D24" s="16" t="s">
        <v>5</v>
      </c>
      <c r="E24" s="20">
        <f>VLOOKUP(D24,Raw!$A$2:$B$23,2,FALSE)</f>
        <v>0</v>
      </c>
      <c r="F24" s="17">
        <f t="shared" si="0"/>
        <v>0</v>
      </c>
    </row>
    <row r="25" spans="1:6" s="17" customFormat="1" x14ac:dyDescent="0.3">
      <c r="B25" s="12" t="s">
        <v>54</v>
      </c>
      <c r="C25" s="22">
        <v>3</v>
      </c>
      <c r="D25" s="16" t="s">
        <v>5</v>
      </c>
      <c r="E25" s="20">
        <f>VLOOKUP(D25,Raw!$A$2:$B$23,2,FALSE)</f>
        <v>0</v>
      </c>
      <c r="F25" s="17">
        <f>C25*E25</f>
        <v>0</v>
      </c>
    </row>
    <row r="26" spans="1:6" s="17" customFormat="1" x14ac:dyDescent="0.3">
      <c r="B26" s="12" t="s">
        <v>55</v>
      </c>
      <c r="C26" s="22">
        <v>1</v>
      </c>
      <c r="D26" s="16" t="s">
        <v>5</v>
      </c>
      <c r="E26" s="20">
        <f>VLOOKUP(D26,Raw!$A$2:$B$23,2,FALSE)</f>
        <v>0</v>
      </c>
      <c r="F26" s="17">
        <f>C26*E26</f>
        <v>0</v>
      </c>
    </row>
    <row r="27" spans="1:6" s="17" customFormat="1" x14ac:dyDescent="0.3">
      <c r="B27" s="12" t="s">
        <v>56</v>
      </c>
      <c r="C27" s="22">
        <v>1</v>
      </c>
      <c r="D27" s="16" t="s">
        <v>5</v>
      </c>
      <c r="E27" s="20">
        <f>VLOOKUP(D27,Raw!$A$2:$B$23,2,FALSE)</f>
        <v>0</v>
      </c>
      <c r="F27" s="17">
        <f t="shared" ref="F27:F29" si="1">C27*E27</f>
        <v>0</v>
      </c>
    </row>
    <row r="28" spans="1:6" s="17" customFormat="1" x14ac:dyDescent="0.3">
      <c r="B28" s="12" t="s">
        <v>57</v>
      </c>
      <c r="C28" s="22">
        <v>1</v>
      </c>
      <c r="D28" s="16" t="s">
        <v>5</v>
      </c>
      <c r="E28" s="20">
        <f>VLOOKUP(D28,Raw!$A$2:$B$23,2,FALSE)</f>
        <v>0</v>
      </c>
      <c r="F28" s="17">
        <f t="shared" si="1"/>
        <v>0</v>
      </c>
    </row>
    <row r="29" spans="1:6" s="17" customFormat="1" x14ac:dyDescent="0.3">
      <c r="B29" s="12" t="s">
        <v>58</v>
      </c>
      <c r="C29" s="22">
        <v>1</v>
      </c>
      <c r="D29" s="16" t="s">
        <v>5</v>
      </c>
      <c r="E29" s="20">
        <f>VLOOKUP(D29,Raw!$A$2:$B$23,2,FALSE)</f>
        <v>0</v>
      </c>
      <c r="F29" s="17">
        <f t="shared" si="1"/>
        <v>0</v>
      </c>
    </row>
    <row r="30" spans="1:6" s="17" customFormat="1" x14ac:dyDescent="0.3">
      <c r="A30" s="17">
        <v>3</v>
      </c>
      <c r="B30" s="18" t="s">
        <v>37</v>
      </c>
      <c r="C30" s="17">
        <f>SUM(C31:C37)</f>
        <v>10.5</v>
      </c>
      <c r="F30" s="17">
        <f>SUM(F31:F37)</f>
        <v>0</v>
      </c>
    </row>
    <row r="31" spans="1:6" s="17" customFormat="1" x14ac:dyDescent="0.3">
      <c r="B31" s="12" t="s">
        <v>51</v>
      </c>
      <c r="C31" s="22">
        <v>0.5</v>
      </c>
      <c r="D31" s="16" t="s">
        <v>5</v>
      </c>
      <c r="E31" s="20">
        <f>VLOOKUP(D31,Raw!$A$2:$B$23,2,FALSE)</f>
        <v>0</v>
      </c>
      <c r="F31" s="17">
        <f t="shared" ref="F31" si="2">C31*E31</f>
        <v>0</v>
      </c>
    </row>
    <row r="32" spans="1:6" s="17" customFormat="1" x14ac:dyDescent="0.3">
      <c r="B32" s="12" t="s">
        <v>60</v>
      </c>
      <c r="C32" s="22">
        <v>1</v>
      </c>
      <c r="D32" s="16" t="s">
        <v>5</v>
      </c>
      <c r="E32" s="20">
        <f>VLOOKUP(D32,Raw!$A$2:$B$23,2,FALSE)</f>
        <v>0</v>
      </c>
      <c r="F32" s="17">
        <f t="shared" ref="F32" si="3">C32*E32</f>
        <v>0</v>
      </c>
    </row>
    <row r="33" spans="1:6" s="17" customFormat="1" x14ac:dyDescent="0.3">
      <c r="B33" s="12" t="s">
        <v>61</v>
      </c>
      <c r="C33" s="22">
        <v>1</v>
      </c>
      <c r="D33" s="16" t="s">
        <v>5</v>
      </c>
      <c r="E33" s="20">
        <f>VLOOKUP(D33,Raw!$A$2:$B$23,2,FALSE)</f>
        <v>0</v>
      </c>
      <c r="F33" s="17">
        <f t="shared" ref="F33:F37" si="4">C33*E33</f>
        <v>0</v>
      </c>
    </row>
    <row r="34" spans="1:6" s="17" customFormat="1" x14ac:dyDescent="0.3">
      <c r="B34" s="12" t="s">
        <v>62</v>
      </c>
      <c r="C34" s="22">
        <v>2</v>
      </c>
      <c r="D34" s="16" t="s">
        <v>5</v>
      </c>
      <c r="E34" s="20">
        <f>VLOOKUP(D34,Raw!$A$2:$B$23,2,FALSE)</f>
        <v>0</v>
      </c>
      <c r="F34" s="17">
        <f t="shared" si="4"/>
        <v>0</v>
      </c>
    </row>
    <row r="35" spans="1:6" s="17" customFormat="1" x14ac:dyDescent="0.3">
      <c r="B35" s="12" t="s">
        <v>63</v>
      </c>
      <c r="C35" s="22">
        <v>2</v>
      </c>
      <c r="D35" s="16" t="s">
        <v>5</v>
      </c>
      <c r="E35" s="20">
        <f>VLOOKUP(D35,Raw!$A$2:$B$23,2,FALSE)</f>
        <v>0</v>
      </c>
      <c r="F35" s="17">
        <f t="shared" si="4"/>
        <v>0</v>
      </c>
    </row>
    <row r="36" spans="1:6" s="17" customFormat="1" x14ac:dyDescent="0.3">
      <c r="B36" s="12" t="s">
        <v>65</v>
      </c>
      <c r="C36" s="22">
        <v>2</v>
      </c>
      <c r="D36" s="16" t="s">
        <v>5</v>
      </c>
      <c r="E36" s="20">
        <f>VLOOKUP(D36,Raw!$A$2:$B$23,2,FALSE)</f>
        <v>0</v>
      </c>
      <c r="F36" s="17">
        <f t="shared" si="4"/>
        <v>0</v>
      </c>
    </row>
    <row r="37" spans="1:6" s="17" customFormat="1" x14ac:dyDescent="0.3">
      <c r="B37" s="12" t="s">
        <v>64</v>
      </c>
      <c r="C37" s="22">
        <v>2</v>
      </c>
      <c r="D37" s="16" t="s">
        <v>5</v>
      </c>
      <c r="E37" s="20">
        <f>VLOOKUP(D37,Raw!$A$2:$B$23,2,FALSE)</f>
        <v>0</v>
      </c>
      <c r="F37" s="17">
        <f t="shared" si="4"/>
        <v>0</v>
      </c>
    </row>
    <row r="38" spans="1:6" s="17" customFormat="1" x14ac:dyDescent="0.3">
      <c r="A38" s="17">
        <v>4</v>
      </c>
      <c r="B38" s="18" t="s">
        <v>38</v>
      </c>
      <c r="C38" s="17">
        <f>SUM(C39:C48)</f>
        <v>10</v>
      </c>
      <c r="F38" s="17">
        <f>SUM(F39:F48)</f>
        <v>0</v>
      </c>
    </row>
    <row r="39" spans="1:6" s="17" customFormat="1" x14ac:dyDescent="0.3">
      <c r="B39" s="12" t="s">
        <v>51</v>
      </c>
      <c r="C39" s="15">
        <v>0.5</v>
      </c>
      <c r="D39" s="16" t="s">
        <v>5</v>
      </c>
      <c r="E39" s="20">
        <f>VLOOKUP(D39,Raw!$A$2:$B$23,2,FALSE)</f>
        <v>0</v>
      </c>
      <c r="F39" s="17">
        <f>C39*E39</f>
        <v>0</v>
      </c>
    </row>
    <row r="40" spans="1:6" s="17" customFormat="1" x14ac:dyDescent="0.3">
      <c r="B40" s="14" t="s">
        <v>39</v>
      </c>
      <c r="C40" s="15">
        <v>1</v>
      </c>
      <c r="D40" s="16" t="s">
        <v>5</v>
      </c>
      <c r="E40" s="20">
        <f>VLOOKUP(D40,Raw!$A$2:$B$23,2,FALSE)</f>
        <v>0</v>
      </c>
      <c r="F40" s="17">
        <f>C40*E40</f>
        <v>0</v>
      </c>
    </row>
    <row r="41" spans="1:6" s="17" customFormat="1" x14ac:dyDescent="0.3">
      <c r="B41" s="14" t="s">
        <v>59</v>
      </c>
      <c r="C41" s="15">
        <v>1</v>
      </c>
      <c r="D41" s="16" t="s">
        <v>5</v>
      </c>
      <c r="E41" s="20">
        <f>VLOOKUP(D41,Raw!$A$2:$B$23,2,FALSE)</f>
        <v>0</v>
      </c>
      <c r="F41" s="17">
        <f t="shared" ref="F41:F48" si="5">C41*E41</f>
        <v>0</v>
      </c>
    </row>
    <row r="42" spans="1:6" s="17" customFormat="1" x14ac:dyDescent="0.3">
      <c r="B42" s="14" t="s">
        <v>66</v>
      </c>
      <c r="C42" s="15">
        <v>1</v>
      </c>
      <c r="D42" s="16" t="s">
        <v>5</v>
      </c>
      <c r="E42" s="20">
        <f>VLOOKUP(D42,Raw!$A$2:$B$23,2,FALSE)</f>
        <v>0</v>
      </c>
      <c r="F42" s="17">
        <f t="shared" si="5"/>
        <v>0</v>
      </c>
    </row>
    <row r="43" spans="1:6" s="17" customFormat="1" x14ac:dyDescent="0.3">
      <c r="B43" s="15" t="s">
        <v>67</v>
      </c>
      <c r="C43" s="15">
        <v>1</v>
      </c>
      <c r="D43" s="16" t="s">
        <v>5</v>
      </c>
      <c r="E43" s="20">
        <f>VLOOKUP(D43,Raw!$A$2:$B$23,2,FALSE)</f>
        <v>0</v>
      </c>
      <c r="F43" s="17">
        <f t="shared" si="5"/>
        <v>0</v>
      </c>
    </row>
    <row r="44" spans="1:6" s="17" customFormat="1" x14ac:dyDescent="0.3">
      <c r="B44" s="12" t="s">
        <v>68</v>
      </c>
      <c r="C44" s="15">
        <v>1</v>
      </c>
      <c r="D44" s="16" t="s">
        <v>5</v>
      </c>
      <c r="E44" s="20">
        <f>VLOOKUP(D44,Raw!$A$2:$B$23,2,FALSE)</f>
        <v>0</v>
      </c>
      <c r="F44" s="17">
        <f t="shared" si="5"/>
        <v>0</v>
      </c>
    </row>
    <row r="45" spans="1:6" s="17" customFormat="1" x14ac:dyDescent="0.3">
      <c r="B45" s="12" t="s">
        <v>69</v>
      </c>
      <c r="C45" s="15">
        <v>1</v>
      </c>
      <c r="D45" s="16" t="s">
        <v>5</v>
      </c>
      <c r="E45" s="20">
        <f>VLOOKUP(D45,Raw!$A$2:$B$23,2,FALSE)</f>
        <v>0</v>
      </c>
      <c r="F45" s="17">
        <f t="shared" si="5"/>
        <v>0</v>
      </c>
    </row>
    <row r="46" spans="1:6" s="17" customFormat="1" x14ac:dyDescent="0.3">
      <c r="B46" s="12" t="s">
        <v>70</v>
      </c>
      <c r="C46" s="15">
        <v>1</v>
      </c>
      <c r="D46" s="16" t="s">
        <v>5</v>
      </c>
      <c r="E46" s="20">
        <f>VLOOKUP(D46,Raw!$A$2:$B$23,2,FALSE)</f>
        <v>0</v>
      </c>
      <c r="F46" s="17">
        <f t="shared" si="5"/>
        <v>0</v>
      </c>
    </row>
    <row r="47" spans="1:6" s="17" customFormat="1" x14ac:dyDescent="0.3">
      <c r="B47" s="12" t="s">
        <v>71</v>
      </c>
      <c r="C47" s="15">
        <v>1</v>
      </c>
      <c r="D47" s="16" t="s">
        <v>5</v>
      </c>
      <c r="E47" s="20">
        <f>VLOOKUP(D47,Raw!$A$2:$B$23,2,FALSE)</f>
        <v>0</v>
      </c>
      <c r="F47" s="17">
        <f t="shared" si="5"/>
        <v>0</v>
      </c>
    </row>
    <row r="48" spans="1:6" s="17" customFormat="1" x14ac:dyDescent="0.3">
      <c r="B48" s="14" t="s">
        <v>72</v>
      </c>
      <c r="C48" s="15">
        <v>1.5</v>
      </c>
      <c r="D48" s="16" t="s">
        <v>5</v>
      </c>
      <c r="E48" s="20">
        <f>VLOOKUP(D48,Raw!$A$2:$B$23,2,FALSE)</f>
        <v>0</v>
      </c>
      <c r="F48" s="17">
        <f t="shared" si="5"/>
        <v>0</v>
      </c>
    </row>
    <row r="49" spans="1:6" s="2" customFormat="1" x14ac:dyDescent="0.3">
      <c r="B49" s="7"/>
    </row>
    <row r="50" spans="1:6" s="2" customFormat="1" x14ac:dyDescent="0.3">
      <c r="B50" s="7" t="s">
        <v>16</v>
      </c>
      <c r="C50" s="2">
        <f>SUM(C51,C62)</f>
        <v>18.5</v>
      </c>
      <c r="F50" s="2">
        <f>SUM(F51,F62)</f>
        <v>0</v>
      </c>
    </row>
    <row r="51" spans="1:6" s="17" customFormat="1" x14ac:dyDescent="0.3">
      <c r="A51" s="17">
        <v>1</v>
      </c>
      <c r="B51" s="18" t="s">
        <v>84</v>
      </c>
      <c r="C51" s="17">
        <f>SUM(C52:C61)</f>
        <v>10.5</v>
      </c>
      <c r="F51" s="17">
        <f>SUM(F52:F61)</f>
        <v>0</v>
      </c>
    </row>
    <row r="52" spans="1:6" s="17" customFormat="1" x14ac:dyDescent="0.3">
      <c r="B52" s="12" t="s">
        <v>51</v>
      </c>
      <c r="C52" s="15">
        <v>0.5</v>
      </c>
      <c r="D52" s="16" t="s">
        <v>5</v>
      </c>
      <c r="E52" s="20">
        <f>VLOOKUP(D52,Raw!$A$2:$B$23,2,FALSE)</f>
        <v>0</v>
      </c>
      <c r="F52" s="17">
        <f>C52*E52</f>
        <v>0</v>
      </c>
    </row>
    <row r="53" spans="1:6" s="17" customFormat="1" x14ac:dyDescent="0.3">
      <c r="B53" s="12" t="s">
        <v>88</v>
      </c>
      <c r="C53" s="15">
        <v>1</v>
      </c>
      <c r="D53" s="16" t="s">
        <v>5</v>
      </c>
      <c r="E53" s="20">
        <f>VLOOKUP(D53,Raw!$A$2:$B$23,2,FALSE)</f>
        <v>0</v>
      </c>
      <c r="F53" s="17">
        <f t="shared" ref="F53:F61" si="6">C53*E53</f>
        <v>0</v>
      </c>
    </row>
    <row r="54" spans="1:6" s="17" customFormat="1" x14ac:dyDescent="0.3">
      <c r="B54" s="12" t="s">
        <v>89</v>
      </c>
      <c r="C54" s="15">
        <v>1</v>
      </c>
      <c r="D54" s="16" t="s">
        <v>5</v>
      </c>
      <c r="E54" s="20">
        <f>VLOOKUP(D54,Raw!$A$2:$B$23,2,FALSE)</f>
        <v>0</v>
      </c>
      <c r="F54" s="17">
        <f t="shared" si="6"/>
        <v>0</v>
      </c>
    </row>
    <row r="55" spans="1:6" s="17" customFormat="1" x14ac:dyDescent="0.3">
      <c r="B55" s="12" t="s">
        <v>90</v>
      </c>
      <c r="C55" s="15">
        <v>1</v>
      </c>
      <c r="D55" s="16" t="s">
        <v>5</v>
      </c>
      <c r="E55" s="20">
        <f>VLOOKUP(D55,Raw!$A$2:$B$23,2,FALSE)</f>
        <v>0</v>
      </c>
      <c r="F55" s="17">
        <f t="shared" si="6"/>
        <v>0</v>
      </c>
    </row>
    <row r="56" spans="1:6" s="17" customFormat="1" x14ac:dyDescent="0.3">
      <c r="B56" s="12" t="s">
        <v>91</v>
      </c>
      <c r="C56" s="15">
        <v>1</v>
      </c>
      <c r="D56" s="16" t="s">
        <v>5</v>
      </c>
      <c r="E56" s="20">
        <f>VLOOKUP(D56,Raw!$A$2:$B$23,2,FALSE)</f>
        <v>0</v>
      </c>
      <c r="F56" s="17">
        <f t="shared" si="6"/>
        <v>0</v>
      </c>
    </row>
    <row r="57" spans="1:6" s="17" customFormat="1" x14ac:dyDescent="0.3">
      <c r="B57" s="12" t="s">
        <v>92</v>
      </c>
      <c r="C57" s="15">
        <v>2</v>
      </c>
      <c r="D57" s="16" t="s">
        <v>5</v>
      </c>
      <c r="E57" s="20">
        <f>VLOOKUP(D57,Raw!$A$2:$B$23,2,FALSE)</f>
        <v>0</v>
      </c>
      <c r="F57" s="17">
        <f t="shared" si="6"/>
        <v>0</v>
      </c>
    </row>
    <row r="58" spans="1:6" s="17" customFormat="1" x14ac:dyDescent="0.3">
      <c r="B58" s="12" t="s">
        <v>93</v>
      </c>
      <c r="C58" s="15">
        <v>1</v>
      </c>
      <c r="D58" s="16" t="s">
        <v>5</v>
      </c>
      <c r="E58" s="20">
        <f>VLOOKUP(D58,Raw!$A$2:$B$23,2,FALSE)</f>
        <v>0</v>
      </c>
      <c r="F58" s="17">
        <f t="shared" si="6"/>
        <v>0</v>
      </c>
    </row>
    <row r="59" spans="1:6" s="17" customFormat="1" x14ac:dyDescent="0.3">
      <c r="B59" s="12" t="s">
        <v>94</v>
      </c>
      <c r="C59" s="15">
        <v>1</v>
      </c>
      <c r="D59" s="16" t="s">
        <v>5</v>
      </c>
      <c r="E59" s="20">
        <f>VLOOKUP(D59,Raw!$A$2:$B$23,2,FALSE)</f>
        <v>0</v>
      </c>
      <c r="F59" s="17">
        <f t="shared" si="6"/>
        <v>0</v>
      </c>
    </row>
    <row r="60" spans="1:6" s="17" customFormat="1" x14ac:dyDescent="0.3">
      <c r="B60" s="12" t="s">
        <v>95</v>
      </c>
      <c r="C60" s="15">
        <v>1</v>
      </c>
      <c r="D60" s="16" t="s">
        <v>5</v>
      </c>
      <c r="E60" s="20">
        <f>VLOOKUP(D60,Raw!$A$2:$B$23,2,FALSE)</f>
        <v>0</v>
      </c>
      <c r="F60" s="17">
        <f t="shared" si="6"/>
        <v>0</v>
      </c>
    </row>
    <row r="61" spans="1:6" s="17" customFormat="1" x14ac:dyDescent="0.3">
      <c r="B61" s="12" t="s">
        <v>96</v>
      </c>
      <c r="C61" s="15">
        <v>1</v>
      </c>
      <c r="D61" s="16" t="s">
        <v>5</v>
      </c>
      <c r="E61" s="20">
        <f>VLOOKUP(D61,Raw!$A$2:$B$23,2,FALSE)</f>
        <v>0</v>
      </c>
      <c r="F61" s="17">
        <f t="shared" si="6"/>
        <v>0</v>
      </c>
    </row>
    <row r="62" spans="1:6" s="17" customFormat="1" x14ac:dyDescent="0.3">
      <c r="A62" s="17">
        <v>2</v>
      </c>
      <c r="B62" s="18" t="s">
        <v>83</v>
      </c>
      <c r="C62" s="17">
        <f>SUM(C63:C65)</f>
        <v>8</v>
      </c>
      <c r="F62" s="17">
        <f>SUM(F63:F65)</f>
        <v>0</v>
      </c>
    </row>
    <row r="63" spans="1:6" s="17" customFormat="1" x14ac:dyDescent="0.3">
      <c r="B63" s="12" t="s">
        <v>85</v>
      </c>
      <c r="C63" s="15">
        <v>1</v>
      </c>
      <c r="D63" s="16" t="s">
        <v>5</v>
      </c>
      <c r="E63" s="20">
        <f>VLOOKUP(D63,Raw!$A$2:$B$23,2,FALSE)</f>
        <v>0</v>
      </c>
      <c r="F63" s="17">
        <f>C63*E63</f>
        <v>0</v>
      </c>
    </row>
    <row r="64" spans="1:6" s="17" customFormat="1" x14ac:dyDescent="0.3">
      <c r="B64" s="12" t="s">
        <v>86</v>
      </c>
      <c r="C64" s="15">
        <v>6</v>
      </c>
      <c r="D64" s="16" t="s">
        <v>5</v>
      </c>
      <c r="E64" s="20">
        <f>VLOOKUP(D64,Raw!$A$2:$B$23,2,FALSE)</f>
        <v>0</v>
      </c>
      <c r="F64" s="17">
        <f t="shared" ref="F64:F65" si="7">C64*E64</f>
        <v>0</v>
      </c>
    </row>
    <row r="65" spans="1:6" s="17" customFormat="1" x14ac:dyDescent="0.3">
      <c r="B65" s="12" t="s">
        <v>87</v>
      </c>
      <c r="C65" s="22">
        <v>1</v>
      </c>
      <c r="D65" s="16" t="s">
        <v>5</v>
      </c>
      <c r="E65" s="20">
        <f>VLOOKUP(D65,Raw!$A$2:$B$23,2,FALSE)</f>
        <v>0</v>
      </c>
      <c r="F65" s="17">
        <f t="shared" si="7"/>
        <v>0</v>
      </c>
    </row>
    <row r="66" spans="1:6" s="2" customFormat="1" x14ac:dyDescent="0.3">
      <c r="B66" s="7"/>
    </row>
    <row r="67" spans="1:6" s="2" customFormat="1" x14ac:dyDescent="0.3">
      <c r="B67" s="7" t="s">
        <v>17</v>
      </c>
      <c r="C67" s="2">
        <f>SUM(C68,C77,C78)</f>
        <v>11.5</v>
      </c>
      <c r="F67" s="2">
        <f>SUM(F68,F77,F78)</f>
        <v>0</v>
      </c>
    </row>
    <row r="68" spans="1:6" s="17" customFormat="1" x14ac:dyDescent="0.3">
      <c r="A68" s="17">
        <v>1</v>
      </c>
      <c r="B68" s="18" t="s">
        <v>73</v>
      </c>
      <c r="C68" s="17">
        <f>SUM(C69:C76)</f>
        <v>9.5</v>
      </c>
      <c r="F68" s="17">
        <f>SUM(F69:F76)</f>
        <v>0</v>
      </c>
    </row>
    <row r="69" spans="1:6" s="17" customFormat="1" x14ac:dyDescent="0.3">
      <c r="B69" s="12" t="s">
        <v>51</v>
      </c>
      <c r="C69" s="15">
        <v>0.5</v>
      </c>
      <c r="D69" s="16" t="s">
        <v>5</v>
      </c>
      <c r="E69" s="20">
        <f>VLOOKUP(D69,Raw!$A$2:$B$23,2,FALSE)</f>
        <v>0</v>
      </c>
      <c r="F69" s="17">
        <f t="shared" ref="F69" si="8">C69*E69</f>
        <v>0</v>
      </c>
    </row>
    <row r="70" spans="1:6" s="17" customFormat="1" x14ac:dyDescent="0.3">
      <c r="B70" s="12" t="s">
        <v>78</v>
      </c>
      <c r="C70" s="15">
        <v>1</v>
      </c>
      <c r="D70" s="16" t="s">
        <v>5</v>
      </c>
      <c r="E70" s="20">
        <f>VLOOKUP(D70,Raw!$A$2:$B$23,2,FALSE)</f>
        <v>0</v>
      </c>
      <c r="F70" s="17">
        <f>C70*E70</f>
        <v>0</v>
      </c>
    </row>
    <row r="71" spans="1:6" s="17" customFormat="1" x14ac:dyDescent="0.3">
      <c r="B71" s="12" t="s">
        <v>81</v>
      </c>
      <c r="C71" s="15">
        <v>1</v>
      </c>
      <c r="D71" s="16" t="s">
        <v>5</v>
      </c>
      <c r="E71" s="20">
        <f>VLOOKUP(D71,Raw!$A$2:$B$23,2,FALSE)</f>
        <v>0</v>
      </c>
      <c r="F71" s="17">
        <f>C71*E71</f>
        <v>0</v>
      </c>
    </row>
    <row r="72" spans="1:6" s="17" customFormat="1" x14ac:dyDescent="0.3">
      <c r="B72" s="12" t="s">
        <v>82</v>
      </c>
      <c r="C72" s="15">
        <v>3</v>
      </c>
      <c r="D72" s="16" t="s">
        <v>5</v>
      </c>
      <c r="E72" s="20">
        <f>VLOOKUP(D72,Raw!$A$2:$B$23,2,FALSE)</f>
        <v>0</v>
      </c>
      <c r="F72" s="17">
        <f>C72*E72</f>
        <v>0</v>
      </c>
    </row>
    <row r="73" spans="1:6" s="17" customFormat="1" x14ac:dyDescent="0.3">
      <c r="B73" s="14" t="s">
        <v>76</v>
      </c>
      <c r="C73" s="15">
        <v>1</v>
      </c>
      <c r="D73" s="16" t="s">
        <v>5</v>
      </c>
      <c r="E73" s="20">
        <f>VLOOKUP(D73,Raw!$A$2:$B$23,2,FALSE)</f>
        <v>0</v>
      </c>
      <c r="F73" s="17">
        <f>C73*E73</f>
        <v>0</v>
      </c>
    </row>
    <row r="74" spans="1:6" s="17" customFormat="1" x14ac:dyDescent="0.3">
      <c r="B74" s="14" t="s">
        <v>77</v>
      </c>
      <c r="C74" s="15">
        <v>1</v>
      </c>
      <c r="D74" s="16" t="s">
        <v>5</v>
      </c>
      <c r="E74" s="20">
        <f>VLOOKUP(D74,Raw!$A$2:$B$23,2,FALSE)</f>
        <v>0</v>
      </c>
      <c r="F74" s="17">
        <f t="shared" ref="F74:F76" si="9">C74*E74</f>
        <v>0</v>
      </c>
    </row>
    <row r="75" spans="1:6" s="17" customFormat="1" x14ac:dyDescent="0.3">
      <c r="B75" s="12" t="s">
        <v>79</v>
      </c>
      <c r="C75" s="15">
        <v>1</v>
      </c>
      <c r="D75" s="16" t="s">
        <v>5</v>
      </c>
      <c r="E75" s="20">
        <f>VLOOKUP(D75,Raw!$A$2:$B$23,2,FALSE)</f>
        <v>0</v>
      </c>
      <c r="F75" s="17">
        <f t="shared" si="9"/>
        <v>0</v>
      </c>
    </row>
    <row r="76" spans="1:6" s="17" customFormat="1" x14ac:dyDescent="0.3">
      <c r="B76" s="12" t="s">
        <v>80</v>
      </c>
      <c r="C76" s="15">
        <v>1</v>
      </c>
      <c r="D76" s="16" t="s">
        <v>5</v>
      </c>
      <c r="E76" s="20">
        <f>VLOOKUP(D76,Raw!$A$2:$B$23,2,FALSE)</f>
        <v>0</v>
      </c>
      <c r="F76" s="17">
        <f t="shared" si="9"/>
        <v>0</v>
      </c>
    </row>
    <row r="77" spans="1:6" s="17" customFormat="1" x14ac:dyDescent="0.3">
      <c r="A77" s="17">
        <v>2</v>
      </c>
      <c r="B77" s="12" t="s">
        <v>74</v>
      </c>
      <c r="C77" s="15">
        <v>1</v>
      </c>
      <c r="D77" s="16" t="s">
        <v>5</v>
      </c>
      <c r="E77" s="20">
        <f>VLOOKUP(D77,Raw!$A$2:$B$23,2,FALSE)</f>
        <v>0</v>
      </c>
      <c r="F77" s="17">
        <f t="shared" ref="F77:F78" si="10">C77*E77</f>
        <v>0</v>
      </c>
    </row>
    <row r="78" spans="1:6" s="17" customFormat="1" x14ac:dyDescent="0.3">
      <c r="A78" s="17">
        <v>3</v>
      </c>
      <c r="B78" s="12" t="s">
        <v>75</v>
      </c>
      <c r="C78" s="15">
        <v>1</v>
      </c>
      <c r="D78" s="16" t="s">
        <v>5</v>
      </c>
      <c r="E78" s="20">
        <f>VLOOKUP(D78,Raw!$A$2:$B$23,2,FALSE)</f>
        <v>0</v>
      </c>
      <c r="F78" s="17">
        <f t="shared" si="10"/>
        <v>0</v>
      </c>
    </row>
    <row r="79" spans="1:6" x14ac:dyDescent="0.3">
      <c r="B79" s="5"/>
    </row>
    <row r="80" spans="1:6" s="2" customFormat="1" x14ac:dyDescent="0.3">
      <c r="B80" s="7" t="s">
        <v>18</v>
      </c>
      <c r="C80" s="1">
        <f>SUM(C81,C89,C93,C96)</f>
        <v>21</v>
      </c>
      <c r="D80" s="1"/>
      <c r="E80" s="1"/>
      <c r="F80" s="1">
        <f>SUM(F81,F89,F93,F96)</f>
        <v>0</v>
      </c>
    </row>
    <row r="81" spans="1:6" x14ac:dyDescent="0.3">
      <c r="A81">
        <v>1</v>
      </c>
      <c r="B81" s="21" t="s">
        <v>20</v>
      </c>
      <c r="C81" s="17">
        <f>SUM(C82:C88)</f>
        <v>7</v>
      </c>
      <c r="D81" s="17"/>
      <c r="E81" s="17"/>
      <c r="F81" s="17">
        <f>SUM(F82:F88)</f>
        <v>0</v>
      </c>
    </row>
    <row r="82" spans="1:6" x14ac:dyDescent="0.3">
      <c r="B82" s="14" t="s">
        <v>24</v>
      </c>
      <c r="C82" s="15">
        <v>1</v>
      </c>
      <c r="D82" s="16" t="s">
        <v>5</v>
      </c>
      <c r="E82" s="20">
        <f>VLOOKUP(D82,Raw!$A$2:$B$23,2,FALSE)</f>
        <v>0</v>
      </c>
      <c r="F82" s="17">
        <f>C82*E82</f>
        <v>0</v>
      </c>
    </row>
    <row r="83" spans="1:6" x14ac:dyDescent="0.3">
      <c r="B83" s="14" t="s">
        <v>25</v>
      </c>
      <c r="C83" s="15">
        <v>1</v>
      </c>
      <c r="D83" s="16" t="s">
        <v>5</v>
      </c>
      <c r="E83" s="20">
        <f>VLOOKUP(D83,Raw!$A$2:$B$23,2,FALSE)</f>
        <v>0</v>
      </c>
      <c r="F83" s="17">
        <f>C83*E83</f>
        <v>0</v>
      </c>
    </row>
    <row r="84" spans="1:6" x14ac:dyDescent="0.3">
      <c r="B84" s="14" t="s">
        <v>26</v>
      </c>
      <c r="C84" s="15">
        <v>1</v>
      </c>
      <c r="D84" s="16" t="s">
        <v>5</v>
      </c>
      <c r="E84" s="20">
        <f>VLOOKUP(D84,Raw!$A$2:$B$23,2,FALSE)</f>
        <v>0</v>
      </c>
      <c r="F84" s="17">
        <f>C84*E84</f>
        <v>0</v>
      </c>
    </row>
    <row r="85" spans="1:6" x14ac:dyDescent="0.3">
      <c r="B85" s="14" t="s">
        <v>27</v>
      </c>
      <c r="C85" s="15">
        <v>1</v>
      </c>
      <c r="D85" s="16" t="s">
        <v>5</v>
      </c>
      <c r="E85" s="20">
        <f>VLOOKUP(D85,Raw!$A$2:$B$23,2,FALSE)</f>
        <v>0</v>
      </c>
      <c r="F85" s="17">
        <f>C85*E85</f>
        <v>0</v>
      </c>
    </row>
    <row r="86" spans="1:6" x14ac:dyDescent="0.3">
      <c r="B86" s="14" t="s">
        <v>28</v>
      </c>
      <c r="C86" s="15">
        <v>1</v>
      </c>
      <c r="D86" s="16" t="s">
        <v>5</v>
      </c>
      <c r="E86" s="20">
        <f>VLOOKUP(D86,Raw!$A$2:$B$23,2,FALSE)</f>
        <v>0</v>
      </c>
      <c r="F86" s="17">
        <f t="shared" ref="F86:F88" si="11">C86*E86</f>
        <v>0</v>
      </c>
    </row>
    <row r="87" spans="1:6" x14ac:dyDescent="0.3">
      <c r="B87" s="14" t="s">
        <v>29</v>
      </c>
      <c r="C87" s="15">
        <v>1</v>
      </c>
      <c r="D87" s="16" t="s">
        <v>5</v>
      </c>
      <c r="E87" s="20">
        <f>VLOOKUP(D87,Raw!$A$2:$B$23,2,FALSE)</f>
        <v>0</v>
      </c>
      <c r="F87" s="17">
        <f t="shared" si="11"/>
        <v>0</v>
      </c>
    </row>
    <row r="88" spans="1:6" x14ac:dyDescent="0.3">
      <c r="B88" s="14" t="s">
        <v>97</v>
      </c>
      <c r="C88" s="15">
        <v>1</v>
      </c>
      <c r="D88" s="16" t="s">
        <v>5</v>
      </c>
      <c r="E88" s="20">
        <f>VLOOKUP(D88,Raw!$A$2:$B$23,2,FALSE)</f>
        <v>0</v>
      </c>
      <c r="F88" s="17">
        <f t="shared" si="11"/>
        <v>0</v>
      </c>
    </row>
    <row r="89" spans="1:6" x14ac:dyDescent="0.3">
      <c r="A89">
        <v>2</v>
      </c>
      <c r="B89" s="21" t="s">
        <v>21</v>
      </c>
      <c r="C89" s="17">
        <f>SUM(C90:C92)</f>
        <v>6</v>
      </c>
      <c r="D89" s="17"/>
      <c r="E89" s="17"/>
      <c r="F89" s="17">
        <f>SUM(F90:F92)</f>
        <v>0</v>
      </c>
    </row>
    <row r="90" spans="1:6" x14ac:dyDescent="0.3">
      <c r="B90" s="14" t="s">
        <v>40</v>
      </c>
      <c r="C90" s="15">
        <v>2</v>
      </c>
      <c r="D90" s="16" t="s">
        <v>5</v>
      </c>
      <c r="E90" s="20">
        <f>VLOOKUP(D90,Raw!$A$2:$B$23,2,FALSE)</f>
        <v>0</v>
      </c>
      <c r="F90" s="17">
        <f>C90*E90</f>
        <v>0</v>
      </c>
    </row>
    <row r="91" spans="1:6" x14ac:dyDescent="0.3">
      <c r="B91" s="14" t="s">
        <v>41</v>
      </c>
      <c r="C91" s="15">
        <v>2</v>
      </c>
      <c r="D91" s="16" t="s">
        <v>5</v>
      </c>
      <c r="E91" s="20">
        <f>VLOOKUP(D91,Raw!$A$2:$B$23,2,FALSE)</f>
        <v>0</v>
      </c>
      <c r="F91" s="17">
        <f t="shared" ref="F91:F92" si="12">C91*E91</f>
        <v>0</v>
      </c>
    </row>
    <row r="92" spans="1:6" x14ac:dyDescent="0.3">
      <c r="B92" s="14" t="s">
        <v>42</v>
      </c>
      <c r="C92" s="15">
        <v>2</v>
      </c>
      <c r="D92" s="16" t="s">
        <v>5</v>
      </c>
      <c r="E92" s="20">
        <f>VLOOKUP(D92,Raw!$A$2:$B$23,2,FALSE)</f>
        <v>0</v>
      </c>
      <c r="F92" s="17">
        <f t="shared" si="12"/>
        <v>0</v>
      </c>
    </row>
    <row r="93" spans="1:6" x14ac:dyDescent="0.3">
      <c r="A93">
        <v>3</v>
      </c>
      <c r="B93" s="18" t="s">
        <v>22</v>
      </c>
      <c r="C93" s="17">
        <f>SUM(C94:C95)</f>
        <v>6</v>
      </c>
      <c r="D93" s="17"/>
      <c r="E93" s="17"/>
      <c r="F93" s="17">
        <f>SUM(F94:F95)</f>
        <v>0</v>
      </c>
    </row>
    <row r="94" spans="1:6" x14ac:dyDescent="0.3">
      <c r="B94" s="14" t="s">
        <v>30</v>
      </c>
      <c r="C94" s="15">
        <v>3</v>
      </c>
      <c r="D94" s="16" t="s">
        <v>5</v>
      </c>
      <c r="E94" s="20">
        <f>VLOOKUP(D94,Raw!$A$2:$B$23,2,FALSE)</f>
        <v>0</v>
      </c>
      <c r="F94" s="17">
        <f>C94*E94</f>
        <v>0</v>
      </c>
    </row>
    <row r="95" spans="1:6" x14ac:dyDescent="0.3">
      <c r="B95" s="14" t="s">
        <v>31</v>
      </c>
      <c r="C95" s="15">
        <v>3</v>
      </c>
      <c r="D95" s="16" t="s">
        <v>5</v>
      </c>
      <c r="E95" s="20">
        <f>VLOOKUP(D95,Raw!$A$2:$B$23,2,FALSE)</f>
        <v>0</v>
      </c>
      <c r="F95" s="17">
        <f>C95*E95</f>
        <v>0</v>
      </c>
    </row>
    <row r="96" spans="1:6" x14ac:dyDescent="0.3">
      <c r="A96">
        <v>4</v>
      </c>
      <c r="B96" s="14" t="s">
        <v>23</v>
      </c>
      <c r="C96" s="15">
        <v>2</v>
      </c>
      <c r="D96" s="16" t="s">
        <v>5</v>
      </c>
      <c r="E96" s="20">
        <f>VLOOKUP(D96,Raw!$A$2:$B$23,2,FALSE)</f>
        <v>0</v>
      </c>
      <c r="F96" s="17">
        <f>C96*E96</f>
        <v>0</v>
      </c>
    </row>
    <row r="97" spans="1:6" x14ac:dyDescent="0.3">
      <c r="B97" s="5"/>
    </row>
    <row r="98" spans="1:6" ht="28.8" x14ac:dyDescent="0.3">
      <c r="A98">
        <v>1</v>
      </c>
      <c r="B98" s="14" t="s">
        <v>19</v>
      </c>
      <c r="C98" s="15">
        <v>-10</v>
      </c>
      <c r="D98" s="16" t="s">
        <v>5</v>
      </c>
      <c r="E98" s="11">
        <f>VLOOKUP(D98,Raw!$A$2:$B$23,2,FALSE)</f>
        <v>0</v>
      </c>
      <c r="F98">
        <f>C98*E98</f>
        <v>0</v>
      </c>
    </row>
    <row r="100" spans="1:6" s="2" customFormat="1" x14ac:dyDescent="0.3">
      <c r="B100" s="7" t="s">
        <v>0</v>
      </c>
      <c r="C100" s="2">
        <f>IF(SUM(C6,C11,C50,C67,C80)&gt;100, 100, SUM(C6,C11,C50,C67,C80))</f>
        <v>100</v>
      </c>
      <c r="F100" s="2">
        <f>IF(SUM(F6,F11,F50,F67,F98,F80)&gt;100, 100, SUM(F6,F11,F50,F67,F98,F80))</f>
        <v>0</v>
      </c>
    </row>
    <row r="101" spans="1:6" s="2" customFormat="1" x14ac:dyDescent="0.3">
      <c r="B101" s="12" t="s">
        <v>12</v>
      </c>
      <c r="E101" s="19"/>
    </row>
    <row r="102" spans="1:6" s="2" customFormat="1" x14ac:dyDescent="0.3">
      <c r="B102" s="7" t="s">
        <v>13</v>
      </c>
      <c r="C102" s="2">
        <f>IF($E$101&lt;=0, C100, (1-($E$101)*0.1)*C100)</f>
        <v>100</v>
      </c>
      <c r="E102" s="13"/>
      <c r="F102" s="2">
        <f>IF($E$101&lt;=0, F100, (1-($E$101)*0.1)*F100)</f>
        <v>0</v>
      </c>
    </row>
    <row r="103" spans="1:6" s="2" customFormat="1" x14ac:dyDescent="0.3">
      <c r="B103" s="12"/>
      <c r="E103" s="13"/>
    </row>
    <row r="104" spans="1:6" s="2" customFormat="1" x14ac:dyDescent="0.3">
      <c r="B104" s="7" t="s">
        <v>1</v>
      </c>
      <c r="C104" s="8">
        <v>0.15</v>
      </c>
      <c r="D104" s="8"/>
      <c r="E104" s="8"/>
      <c r="F104" s="2">
        <f>F102*15/100</f>
        <v>0</v>
      </c>
    </row>
  </sheetData>
  <mergeCells count="1">
    <mergeCell ref="B1:G1"/>
  </mergeCells>
  <pageMargins left="0.25" right="0.25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4AD849A-6F0E-4D73-B3B5-27C8D69269BE}">
          <x14:formula1>
            <xm:f>Raw!$A$2:$A$23</xm:f>
          </x14:formula1>
          <xm:sqref>D98 D82:D88 D8:D9 D90:D92 D94:D96 D13:D16 D18:D29 D31:D37 D39:D48 D69:D78 D63:D65 D52:D61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8AC24-E293-4F77-B2B2-BEAA043E24B6}">
  <dimension ref="A1:B23"/>
  <sheetViews>
    <sheetView workbookViewId="0">
      <selection sqref="A1:B23"/>
    </sheetView>
  </sheetViews>
  <sheetFormatPr defaultRowHeight="14.4" x14ac:dyDescent="0.3"/>
  <sheetData>
    <row r="1" spans="1:2" x14ac:dyDescent="0.3">
      <c r="A1" t="s">
        <v>3</v>
      </c>
      <c r="B1" t="s">
        <v>4</v>
      </c>
    </row>
    <row r="2" spans="1:2" x14ac:dyDescent="0.3">
      <c r="A2" s="6" t="s">
        <v>5</v>
      </c>
      <c r="B2" s="10">
        <v>0</v>
      </c>
    </row>
    <row r="3" spans="1:2" x14ac:dyDescent="0.3">
      <c r="A3" t="s">
        <v>6</v>
      </c>
      <c r="B3" s="10">
        <v>1</v>
      </c>
    </row>
    <row r="4" spans="1:2" x14ac:dyDescent="0.3">
      <c r="A4" t="s">
        <v>7</v>
      </c>
      <c r="B4" s="10">
        <v>0.5</v>
      </c>
    </row>
    <row r="5" spans="1:2" x14ac:dyDescent="0.3">
      <c r="A5" t="s">
        <v>8</v>
      </c>
      <c r="B5" s="10">
        <v>0</v>
      </c>
    </row>
    <row r="6" spans="1:2" x14ac:dyDescent="0.3">
      <c r="A6">
        <v>0.95</v>
      </c>
      <c r="B6" s="10">
        <f>A6</f>
        <v>0.95</v>
      </c>
    </row>
    <row r="7" spans="1:2" x14ac:dyDescent="0.3">
      <c r="A7">
        <v>0.9</v>
      </c>
      <c r="B7" s="10">
        <f t="shared" ref="B7:B23" si="0">A7</f>
        <v>0.9</v>
      </c>
    </row>
    <row r="8" spans="1:2" x14ac:dyDescent="0.3">
      <c r="A8">
        <v>0.85</v>
      </c>
      <c r="B8" s="10">
        <f t="shared" si="0"/>
        <v>0.85</v>
      </c>
    </row>
    <row r="9" spans="1:2" x14ac:dyDescent="0.3">
      <c r="A9">
        <v>0.8</v>
      </c>
      <c r="B9" s="10">
        <f t="shared" si="0"/>
        <v>0.8</v>
      </c>
    </row>
    <row r="10" spans="1:2" x14ac:dyDescent="0.3">
      <c r="A10">
        <v>0.75</v>
      </c>
      <c r="B10" s="10">
        <f t="shared" si="0"/>
        <v>0.75</v>
      </c>
    </row>
    <row r="11" spans="1:2" x14ac:dyDescent="0.3">
      <c r="A11">
        <v>0.7</v>
      </c>
      <c r="B11" s="10">
        <f t="shared" si="0"/>
        <v>0.7</v>
      </c>
    </row>
    <row r="12" spans="1:2" x14ac:dyDescent="0.3">
      <c r="A12">
        <v>0.65</v>
      </c>
      <c r="B12" s="10">
        <f t="shared" si="0"/>
        <v>0.65</v>
      </c>
    </row>
    <row r="13" spans="1:2" x14ac:dyDescent="0.3">
      <c r="A13">
        <v>0.6</v>
      </c>
      <c r="B13" s="10">
        <f t="shared" si="0"/>
        <v>0.6</v>
      </c>
    </row>
    <row r="14" spans="1:2" x14ac:dyDescent="0.3">
      <c r="A14">
        <v>0.55000000000000104</v>
      </c>
      <c r="B14" s="10">
        <f t="shared" si="0"/>
        <v>0.55000000000000104</v>
      </c>
    </row>
    <row r="15" spans="1:2" x14ac:dyDescent="0.3">
      <c r="A15">
        <v>0.45000000000000101</v>
      </c>
      <c r="B15" s="10">
        <f t="shared" si="0"/>
        <v>0.45000000000000101</v>
      </c>
    </row>
    <row r="16" spans="1:2" x14ac:dyDescent="0.3">
      <c r="A16">
        <v>0.40000000000000102</v>
      </c>
      <c r="B16" s="10">
        <f t="shared" si="0"/>
        <v>0.40000000000000102</v>
      </c>
    </row>
    <row r="17" spans="1:2" x14ac:dyDescent="0.3">
      <c r="A17">
        <v>0.35000000000000098</v>
      </c>
      <c r="B17" s="10">
        <f t="shared" si="0"/>
        <v>0.35000000000000098</v>
      </c>
    </row>
    <row r="18" spans="1:2" x14ac:dyDescent="0.3">
      <c r="A18">
        <v>0.30000000000000099</v>
      </c>
      <c r="B18" s="10">
        <f t="shared" si="0"/>
        <v>0.30000000000000099</v>
      </c>
    </row>
    <row r="19" spans="1:2" x14ac:dyDescent="0.3">
      <c r="A19">
        <v>0.25</v>
      </c>
      <c r="B19" s="10">
        <f t="shared" si="0"/>
        <v>0.25</v>
      </c>
    </row>
    <row r="20" spans="1:2" x14ac:dyDescent="0.3">
      <c r="A20">
        <v>0.20000000000000101</v>
      </c>
      <c r="B20" s="10">
        <f t="shared" si="0"/>
        <v>0.20000000000000101</v>
      </c>
    </row>
    <row r="21" spans="1:2" x14ac:dyDescent="0.3">
      <c r="A21">
        <v>0.15000000000000099</v>
      </c>
      <c r="B21" s="10">
        <f t="shared" si="0"/>
        <v>0.15000000000000099</v>
      </c>
    </row>
    <row r="22" spans="1:2" x14ac:dyDescent="0.3">
      <c r="A22">
        <v>0.100000000000001</v>
      </c>
      <c r="B22" s="10">
        <f t="shared" si="0"/>
        <v>0.100000000000001</v>
      </c>
    </row>
    <row r="23" spans="1:2" x14ac:dyDescent="0.3">
      <c r="A23">
        <v>5.0000000000000898E-2</v>
      </c>
      <c r="B23" s="10">
        <f t="shared" si="0"/>
        <v>5.0000000000000898E-2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Grade</vt:lpstr>
      <vt:lpstr>Raw</vt:lpstr>
    </vt:vector>
  </TitlesOfParts>
  <Company>The University of Newcastle, Australia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testuser1</dc:creator>
  <cp:lastModifiedBy>Adrian Tan</cp:lastModifiedBy>
  <dcterms:created xsi:type="dcterms:W3CDTF">2019-03-06T00:38:47Z</dcterms:created>
  <dcterms:modified xsi:type="dcterms:W3CDTF">2025-08-03T08:35:11Z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cb323ff5-bfba-4daf-a33b-c1ec207705ea</vt:lpwstr>
  </property>
</Properties>
</file>